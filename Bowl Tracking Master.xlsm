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comments14.xml" ContentType="application/vnd.openxmlformats-officedocument.spreadsheetml.comments+xml"/>
  <Override PartName="/xl/threadedComments/threadedComment14.xml" ContentType="application/vnd.ms-excel.threadedcomments+xml"/>
  <Override PartName="/xl/comments15.xml" ContentType="application/vnd.openxmlformats-officedocument.spreadsheetml.comments+xml"/>
  <Override PartName="/xl/threadedComments/threadedComment15.xml" ContentType="application/vnd.ms-excel.threadedcomments+xml"/>
  <Override PartName="/xl/comments16.xml" ContentType="application/vnd.openxmlformats-officedocument.spreadsheetml.comments+xml"/>
  <Override PartName="/xl/threadedComments/threadedComment16.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Tyler\Dropbox\Public\"/>
    </mc:Choice>
  </mc:AlternateContent>
  <xr:revisionPtr revIDLastSave="0" documentId="13_ncr:1_{ADC2C5D0-D937-4574-B493-391BD2A3E0EE}" xr6:coauthVersionLast="45" xr6:coauthVersionMax="45" xr10:uidLastSave="{00000000-0000-0000-0000-000000000000}"/>
  <bookViews>
    <workbookView xWindow="-110" yWindow="-110" windowWidth="19420" windowHeight="11020" tabRatio="729" xr2:uid="{04B12E74-6FD5-4808-8B6A-F97E7CCEC752}"/>
  </bookViews>
  <sheets>
    <sheet name="Description" sheetId="23" r:id="rId1"/>
    <sheet name="Form" sheetId="1" r:id="rId2"/>
    <sheet name="Standings" sheetId="3" r:id="rId3"/>
    <sheet name="Summary" sheetId="2" r:id="rId4"/>
    <sheet name="H2H" sheetId="4" r:id="rId5"/>
    <sheet name="Today's Games" sheetId="21" r:id="rId6"/>
    <sheet name="Remaining Games" sheetId="22" r:id="rId7"/>
    <sheet name="Michael" sheetId="6" r:id="rId8"/>
    <sheet name="Joe" sheetId="15" r:id="rId9"/>
    <sheet name="Mazzen" sheetId="7" r:id="rId10"/>
    <sheet name="Dan" sheetId="8" r:id="rId11"/>
    <sheet name="Ryan" sheetId="9" r:id="rId12"/>
    <sheet name="Suzanne" sheetId="10" r:id="rId13"/>
    <sheet name="Nick" sheetId="11" r:id="rId14"/>
    <sheet name="Tyler" sheetId="12" r:id="rId15"/>
    <sheet name="Andrew" sheetId="13" r:id="rId16"/>
    <sheet name="Nathan" sheetId="14" r:id="rId17"/>
    <sheet name="Kent" sheetId="16" r:id="rId18"/>
    <sheet name="Jay" sheetId="17" r:id="rId19"/>
    <sheet name="Ashleigh" sheetId="19" r:id="rId20"/>
    <sheet name="Courtney" sheetId="18" r:id="rId21"/>
    <sheet name="Jordan" sheetId="20" r:id="rId22"/>
  </sheets>
  <externalReferences>
    <externalReference r:id="rId23"/>
    <externalReference r:id="rId24"/>
    <externalReference r:id="rId25"/>
    <externalReference r:id="rId26"/>
    <externalReference r:id="rId27"/>
    <externalReference r:id="rId28"/>
    <externalReference r:id="rId29"/>
  </externalReferences>
  <definedNames>
    <definedName name="_xlnm._FilterDatabase" localSheetId="6" hidden="1">'Remaining Games'!$A$3:$AH$43</definedName>
    <definedName name="_xlnm._FilterDatabase" localSheetId="5" hidden="1">'Today''s Games'!$A$3:$AH$43</definedName>
    <definedName name="Confidence_Count">OFFSET([1]Games!$J$1,0,0,COUNTA([1]Games!$J$1:$J$41)-COUNTBLANK([1]Games!$J$1:$J$41),1)</definedName>
    <definedName name="Participants">Summary!$E$2:$S$2</definedName>
    <definedName name="Today">'Today''s Games'!$B$1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5" i="2" l="1"/>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V45" i="2" l="1"/>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Q5" i="17" l="1"/>
  <c r="Q6" i="17"/>
  <c r="Q7" i="17"/>
  <c r="Q8" i="17"/>
  <c r="Q9" i="17"/>
  <c r="Q10" i="17"/>
  <c r="Q11" i="17"/>
  <c r="Q12" i="17"/>
  <c r="Q13" i="17"/>
  <c r="Q14" i="17"/>
  <c r="Q15" i="17"/>
  <c r="Q16" i="17"/>
  <c r="Q17" i="17"/>
  <c r="Q18" i="17"/>
  <c r="Q19" i="17"/>
  <c r="Q20" i="17"/>
  <c r="Q21" i="17"/>
  <c r="Q22" i="17"/>
  <c r="Q23" i="17"/>
  <c r="Q24" i="17"/>
  <c r="Q25" i="17"/>
  <c r="Q26" i="17"/>
  <c r="Q27" i="17"/>
  <c r="Q28" i="17"/>
  <c r="Q29" i="17"/>
  <c r="Q30" i="17"/>
  <c r="Q31" i="17"/>
  <c r="Q32" i="17"/>
  <c r="Q33" i="17"/>
  <c r="Q34" i="17"/>
  <c r="Q35" i="17"/>
  <c r="Q36" i="17"/>
  <c r="Q37" i="17"/>
  <c r="Q38" i="17"/>
  <c r="Q39" i="17"/>
  <c r="Q40" i="17"/>
  <c r="Q41" i="17"/>
  <c r="Q42" i="17"/>
  <c r="Q43" i="17"/>
  <c r="Q4" i="17"/>
  <c r="I40" i="11" l="1"/>
  <c r="I39" i="11"/>
  <c r="I38" i="11"/>
  <c r="I37" i="11"/>
  <c r="I36" i="11"/>
  <c r="I35" i="11"/>
  <c r="I34" i="11"/>
  <c r="I33" i="11"/>
  <c r="I32" i="11"/>
  <c r="I31" i="11"/>
  <c r="I30" i="11"/>
  <c r="I29" i="11"/>
  <c r="I28" i="11"/>
  <c r="I27" i="11"/>
  <c r="I26" i="11"/>
  <c r="I25" i="11"/>
  <c r="I24" i="11"/>
  <c r="I23" i="11"/>
  <c r="I22" i="11"/>
  <c r="I21" i="11"/>
  <c r="I20" i="11"/>
  <c r="I19" i="11"/>
  <c r="I18" i="11"/>
  <c r="I17" i="11"/>
  <c r="I16" i="11"/>
  <c r="I15" i="11"/>
  <c r="I14" i="11"/>
  <c r="I13" i="11"/>
  <c r="I12" i="11"/>
  <c r="I11" i="11"/>
  <c r="I10" i="11"/>
  <c r="I9" i="11"/>
  <c r="I8" i="11"/>
  <c r="I7" i="11"/>
  <c r="I6" i="11"/>
  <c r="I5" i="11"/>
  <c r="I4" i="11"/>
  <c r="I3" i="11"/>
  <c r="I2" i="11"/>
  <c r="I1" i="11"/>
  <c r="G1" i="11"/>
  <c r="J39" i="11" l="1" a="1"/>
  <c r="J39" i="11" s="1"/>
  <c r="G7" i="11" a="1"/>
  <c r="G7" i="11" s="1"/>
  <c r="J8" i="11" a="1"/>
  <c r="J8" i="11" s="1"/>
  <c r="G27" i="11" a="1"/>
  <c r="G27" i="11" s="1"/>
  <c r="G35" i="11" a="1"/>
  <c r="G35" i="11" s="1"/>
  <c r="J36" i="11" a="1"/>
  <c r="J36" i="11" s="1"/>
  <c r="G39" i="11" a="1"/>
  <c r="G39" i="11" s="1"/>
  <c r="J40" i="11" a="1"/>
  <c r="J40" i="11" s="1"/>
  <c r="J41" i="11" a="1"/>
  <c r="J41" i="11" s="1"/>
  <c r="G43" i="11" a="1"/>
  <c r="G43" i="11" s="1"/>
  <c r="J1" i="11" a="1"/>
  <c r="J1" i="11" s="1"/>
  <c r="G4" i="11" a="1"/>
  <c r="G4" i="11" s="1"/>
  <c r="J5" i="11" a="1"/>
  <c r="J5" i="11" s="1"/>
  <c r="G8" i="11" a="1"/>
  <c r="G8" i="11" s="1"/>
  <c r="J9" i="11" a="1"/>
  <c r="J9" i="11" s="1"/>
  <c r="G12" i="11" a="1"/>
  <c r="G12" i="11" s="1"/>
  <c r="J13" i="11" a="1"/>
  <c r="J13" i="11" s="1"/>
  <c r="G16" i="11" a="1"/>
  <c r="G16" i="11" s="1"/>
  <c r="J17" i="11" a="1"/>
  <c r="J17" i="11" s="1"/>
  <c r="G20" i="11" a="1"/>
  <c r="G20" i="11" s="1"/>
  <c r="J21" i="11" a="1"/>
  <c r="J21" i="11" s="1"/>
  <c r="G24" i="11" a="1"/>
  <c r="G24" i="11" s="1"/>
  <c r="J25" i="11" a="1"/>
  <c r="J25" i="11" s="1"/>
  <c r="G28" i="11" a="1"/>
  <c r="G28" i="11" s="1"/>
  <c r="J29" i="11" a="1"/>
  <c r="J29" i="11" s="1"/>
  <c r="G32" i="11" a="1"/>
  <c r="G32" i="11" s="1"/>
  <c r="J33" i="11" a="1"/>
  <c r="J33" i="11" s="1"/>
  <c r="G36" i="11" a="1"/>
  <c r="G36" i="11" s="1"/>
  <c r="J37" i="11" a="1"/>
  <c r="J37" i="11" s="1"/>
  <c r="G40" i="11" a="1"/>
  <c r="G40" i="11" s="1"/>
  <c r="G11" i="11" a="1"/>
  <c r="G11" i="11" s="1"/>
  <c r="J12" i="11" a="1"/>
  <c r="J12" i="11" s="1"/>
  <c r="G23" i="11" a="1"/>
  <c r="G23" i="11" s="1"/>
  <c r="J24" i="11" a="1"/>
  <c r="J24" i="11" s="1"/>
  <c r="J28" i="11" a="1"/>
  <c r="J28" i="11" s="1"/>
  <c r="G9" i="11" a="1"/>
  <c r="G9" i="11" s="1"/>
  <c r="J10" i="11" a="1"/>
  <c r="J10" i="11" s="1"/>
  <c r="G13" i="11" a="1"/>
  <c r="G13" i="11" s="1"/>
  <c r="J14" i="11" a="1"/>
  <c r="J14" i="11" s="1"/>
  <c r="G17" i="11" a="1"/>
  <c r="G17" i="11" s="1"/>
  <c r="J18" i="11" a="1"/>
  <c r="J18" i="11" s="1"/>
  <c r="G21" i="11" a="1"/>
  <c r="G21" i="11" s="1"/>
  <c r="J22" i="11" a="1"/>
  <c r="J22" i="11" s="1"/>
  <c r="G25" i="11" a="1"/>
  <c r="G25" i="11" s="1"/>
  <c r="J26" i="11" a="1"/>
  <c r="J26" i="11" s="1"/>
  <c r="G29" i="11" a="1"/>
  <c r="G29" i="11" s="1"/>
  <c r="J30" i="11" a="1"/>
  <c r="J30" i="11" s="1"/>
  <c r="G33" i="11" a="1"/>
  <c r="G33" i="11" s="1"/>
  <c r="J34" i="11" a="1"/>
  <c r="J34" i="11" s="1"/>
  <c r="G37" i="11" a="1"/>
  <c r="G37" i="11" s="1"/>
  <c r="J38" i="11" a="1"/>
  <c r="J38" i="11" s="1"/>
  <c r="G41" i="11" a="1"/>
  <c r="G41" i="11" s="1"/>
  <c r="G42" i="11" a="1"/>
  <c r="G42" i="11" s="1"/>
  <c r="G44" i="11" a="1"/>
  <c r="G44" i="11" s="1"/>
  <c r="J2" i="11" a="1"/>
  <c r="J2" i="11" s="1"/>
  <c r="J4" i="11" a="1"/>
  <c r="J4" i="11" s="1"/>
  <c r="G15" i="11" a="1"/>
  <c r="G15" i="11" s="1"/>
  <c r="J16" i="11" a="1"/>
  <c r="J16" i="11" s="1"/>
  <c r="G19" i="11" a="1"/>
  <c r="G19" i="11" s="1"/>
  <c r="J20" i="11" a="1"/>
  <c r="J20" i="11" s="1"/>
  <c r="G31" i="11" a="1"/>
  <c r="G31" i="11" s="1"/>
  <c r="J32" i="11" a="1"/>
  <c r="J32" i="11" s="1"/>
  <c r="G5" i="11" a="1"/>
  <c r="G5" i="11" s="1"/>
  <c r="J6" i="11" a="1"/>
  <c r="J6" i="11" s="1"/>
  <c r="J3" i="11" a="1"/>
  <c r="J3" i="11" s="1"/>
  <c r="G6" i="11" a="1"/>
  <c r="G6" i="11" s="1"/>
  <c r="J7" i="11" a="1"/>
  <c r="J7" i="11" s="1"/>
  <c r="G10" i="11" a="1"/>
  <c r="G10" i="11" s="1"/>
  <c r="J11" i="11" a="1"/>
  <c r="J11" i="11" s="1"/>
  <c r="G14" i="11" a="1"/>
  <c r="G14" i="11" s="1"/>
  <c r="J15" i="11" a="1"/>
  <c r="J15" i="11" s="1"/>
  <c r="G18" i="11" a="1"/>
  <c r="G18" i="11" s="1"/>
  <c r="J19" i="11" a="1"/>
  <c r="J19" i="11" s="1"/>
  <c r="G22" i="11" a="1"/>
  <c r="G22" i="11" s="1"/>
  <c r="J23" i="11" a="1"/>
  <c r="J23" i="11" s="1"/>
  <c r="G26" i="11" a="1"/>
  <c r="G26" i="11" s="1"/>
  <c r="J27" i="11" a="1"/>
  <c r="J27" i="11" s="1"/>
  <c r="G30" i="11" a="1"/>
  <c r="G30" i="11" s="1"/>
  <c r="J31" i="11" a="1"/>
  <c r="J31" i="11" s="1"/>
  <c r="G34" i="11" a="1"/>
  <c r="G34" i="11" s="1"/>
  <c r="J35" i="11" a="1"/>
  <c r="J35" i="11" s="1"/>
  <c r="G38" i="11" a="1"/>
  <c r="G38" i="11" s="1"/>
  <c r="I40" i="18"/>
  <c r="I39" i="18"/>
  <c r="I38" i="18"/>
  <c r="I37" i="18"/>
  <c r="I36" i="18"/>
  <c r="I35" i="18"/>
  <c r="I34" i="18"/>
  <c r="I33" i="18"/>
  <c r="I32" i="18"/>
  <c r="I31" i="18"/>
  <c r="I30" i="18"/>
  <c r="I29" i="18"/>
  <c r="I28" i="18"/>
  <c r="I27" i="18"/>
  <c r="I26" i="18"/>
  <c r="I25" i="18"/>
  <c r="I24" i="18"/>
  <c r="I23" i="18"/>
  <c r="I22" i="18"/>
  <c r="I21" i="18"/>
  <c r="I20" i="18"/>
  <c r="I19" i="18"/>
  <c r="I18" i="18"/>
  <c r="I17" i="18"/>
  <c r="I16" i="18"/>
  <c r="I15" i="18"/>
  <c r="I14" i="18"/>
  <c r="I13" i="18"/>
  <c r="I12" i="18"/>
  <c r="I11" i="18"/>
  <c r="I10" i="18"/>
  <c r="I9" i="18"/>
  <c r="I8" i="18"/>
  <c r="I7" i="18"/>
  <c r="N6" i="18" a="1"/>
  <c r="N6" i="18" s="1"/>
  <c r="I6" i="18"/>
  <c r="I5" i="18"/>
  <c r="I4" i="18"/>
  <c r="I3" i="18"/>
  <c r="J36" i="18" s="1" a="1"/>
  <c r="J36" i="18" s="1"/>
  <c r="I2" i="18"/>
  <c r="J37" i="18" s="1" a="1"/>
  <c r="J37" i="18" s="1"/>
  <c r="I1" i="18"/>
  <c r="J39" i="18" s="1" a="1"/>
  <c r="J39" i="18" s="1"/>
  <c r="G1" i="18"/>
  <c r="B1" i="18"/>
  <c r="H41" i="21"/>
  <c r="F33" i="21"/>
  <c r="J39" i="21"/>
  <c r="F14" i="21"/>
  <c r="F30" i="21"/>
  <c r="F16" i="21"/>
  <c r="F28" i="21"/>
  <c r="J7" i="21"/>
  <c r="J22" i="21"/>
  <c r="F42" i="21"/>
  <c r="F6" i="21"/>
  <c r="F25" i="21"/>
  <c r="H30" i="21"/>
  <c r="H18" i="21"/>
  <c r="H29" i="21"/>
  <c r="F17" i="21"/>
  <c r="H23" i="21"/>
  <c r="J9" i="21"/>
  <c r="H24" i="21"/>
  <c r="J41" i="21"/>
  <c r="J15" i="21"/>
  <c r="J19" i="21"/>
  <c r="F21" i="21"/>
  <c r="F32" i="21"/>
  <c r="J14" i="21"/>
  <c r="P5" i="21"/>
  <c r="H17" i="21"/>
  <c r="F37" i="21"/>
  <c r="H25" i="21"/>
  <c r="H13" i="21"/>
  <c r="H38" i="21"/>
  <c r="H5" i="21"/>
  <c r="H12" i="21"/>
  <c r="J36" i="21"/>
  <c r="F31" i="21"/>
  <c r="J24" i="21"/>
  <c r="F41" i="21"/>
  <c r="H34" i="21"/>
  <c r="F18" i="21"/>
  <c r="J28" i="21"/>
  <c r="H16" i="21"/>
  <c r="H39" i="21"/>
  <c r="F40" i="21"/>
  <c r="H27" i="21"/>
  <c r="V5" i="21"/>
  <c r="J16" i="21"/>
  <c r="J5" i="21"/>
  <c r="H22" i="21"/>
  <c r="J25" i="21"/>
  <c r="F27" i="21"/>
  <c r="N5" i="21"/>
  <c r="H37" i="21"/>
  <c r="J38" i="21"/>
  <c r="I5" i="21"/>
  <c r="H32" i="21"/>
  <c r="F23" i="21"/>
  <c r="H33" i="21"/>
  <c r="J11" i="21"/>
  <c r="J42" i="21"/>
  <c r="F39" i="21"/>
  <c r="H14" i="21"/>
  <c r="J32" i="21"/>
  <c r="J40" i="21"/>
  <c r="F7" i="21"/>
  <c r="H28" i="21"/>
  <c r="J20" i="21"/>
  <c r="J27" i="21"/>
  <c r="J43" i="21"/>
  <c r="F15" i="21"/>
  <c r="F38" i="21"/>
  <c r="L5" i="21"/>
  <c r="F36" i="21"/>
  <c r="H11" i="21"/>
  <c r="F20" i="21"/>
  <c r="H40" i="21"/>
  <c r="F11" i="21"/>
  <c r="J21" i="21"/>
  <c r="H9" i="21"/>
  <c r="T5" i="21"/>
  <c r="H10" i="21"/>
  <c r="J29" i="21"/>
  <c r="J26" i="21"/>
  <c r="J34" i="21"/>
  <c r="H31" i="21"/>
  <c r="H8" i="21"/>
  <c r="F34" i="21"/>
  <c r="F12" i="21"/>
  <c r="H26" i="21"/>
  <c r="F19" i="21"/>
  <c r="J10" i="21"/>
  <c r="R5" i="21"/>
  <c r="J33" i="21"/>
  <c r="F24" i="21"/>
  <c r="J23" i="21"/>
  <c r="H15" i="21"/>
  <c r="H6" i="21"/>
  <c r="F43" i="21"/>
  <c r="J37" i="21"/>
  <c r="J31" i="21"/>
  <c r="J35" i="21"/>
  <c r="H36" i="21"/>
  <c r="F9" i="21"/>
  <c r="J13" i="21"/>
  <c r="H43" i="21"/>
  <c r="J12" i="21"/>
  <c r="F8" i="21"/>
  <c r="J18" i="21"/>
  <c r="H7" i="21"/>
  <c r="F22" i="21"/>
  <c r="F10" i="21"/>
  <c r="H42" i="21"/>
  <c r="H20" i="21"/>
  <c r="F29" i="21"/>
  <c r="F35" i="21"/>
  <c r="H19" i="21"/>
  <c r="H35" i="21"/>
  <c r="H21" i="21"/>
  <c r="J6" i="21"/>
  <c r="J30" i="21"/>
  <c r="J17" i="21"/>
  <c r="F26" i="21"/>
  <c r="F13" i="21"/>
  <c r="J8" i="21"/>
  <c r="G40" i="18" l="1" a="1"/>
  <c r="G40" i="18" s="1"/>
  <c r="G5" i="18" a="1"/>
  <c r="G5" i="18" s="1"/>
  <c r="J6" i="18" a="1"/>
  <c r="J6" i="18" s="1"/>
  <c r="G7" i="18" a="1"/>
  <c r="G7" i="18" s="1"/>
  <c r="J8" i="18" a="1"/>
  <c r="J8" i="18" s="1"/>
  <c r="G15" i="18" a="1"/>
  <c r="G15" i="18" s="1"/>
  <c r="J16" i="18" a="1"/>
  <c r="J16" i="18" s="1"/>
  <c r="G23" i="18" a="1"/>
  <c r="G23" i="18" s="1"/>
  <c r="J24" i="18" a="1"/>
  <c r="J24" i="18" s="1"/>
  <c r="G31" i="18" a="1"/>
  <c r="G31" i="18" s="1"/>
  <c r="J32" i="18" a="1"/>
  <c r="J32" i="18" s="1"/>
  <c r="G39" i="18" a="1"/>
  <c r="G39" i="18" s="1"/>
  <c r="J40" i="18" a="1"/>
  <c r="J40" i="18" s="1"/>
  <c r="J41" i="18" a="1"/>
  <c r="J41" i="18" s="1"/>
  <c r="G43" i="18" a="1"/>
  <c r="G43" i="18" s="1"/>
  <c r="J3" i="18" a="1"/>
  <c r="J3" i="18" s="1"/>
  <c r="G12" i="18" a="1"/>
  <c r="G12" i="18" s="1"/>
  <c r="J13" i="18" a="1"/>
  <c r="J13" i="18" s="1"/>
  <c r="G20" i="18" a="1"/>
  <c r="G20" i="18" s="1"/>
  <c r="J21" i="18" a="1"/>
  <c r="J21" i="18" s="1"/>
  <c r="G28" i="18" a="1"/>
  <c r="G28" i="18" s="1"/>
  <c r="J29" i="18" a="1"/>
  <c r="J29" i="18" s="1"/>
  <c r="J33" i="18" a="1"/>
  <c r="J33" i="18" s="1"/>
  <c r="G9" i="18" a="1"/>
  <c r="G9" i="18" s="1"/>
  <c r="J10" i="18" a="1"/>
  <c r="J10" i="18" s="1"/>
  <c r="G13" i="18" a="1"/>
  <c r="G13" i="18" s="1"/>
  <c r="J14" i="18" a="1"/>
  <c r="J14" i="18" s="1"/>
  <c r="G17" i="18" a="1"/>
  <c r="G17" i="18" s="1"/>
  <c r="J18" i="18" a="1"/>
  <c r="J18" i="18" s="1"/>
  <c r="G21" i="18" a="1"/>
  <c r="G21" i="18" s="1"/>
  <c r="J22" i="18" a="1"/>
  <c r="J22" i="18" s="1"/>
  <c r="G25" i="18" a="1"/>
  <c r="G25" i="18" s="1"/>
  <c r="J26" i="18" a="1"/>
  <c r="J26" i="18" s="1"/>
  <c r="G29" i="18" a="1"/>
  <c r="G29" i="18" s="1"/>
  <c r="J30" i="18" a="1"/>
  <c r="J30" i="18" s="1"/>
  <c r="G33" i="18" a="1"/>
  <c r="G33" i="18" s="1"/>
  <c r="J34" i="18" a="1"/>
  <c r="J34" i="18" s="1"/>
  <c r="G37" i="18" a="1"/>
  <c r="G37" i="18" s="1"/>
  <c r="J38" i="18" a="1"/>
  <c r="J38" i="18" s="1"/>
  <c r="G41" i="18" a="1"/>
  <c r="G41" i="18" s="1"/>
  <c r="G42" i="18" a="1"/>
  <c r="G42" i="18" s="1"/>
  <c r="G44" i="18" a="1"/>
  <c r="G44" i="18" s="1"/>
  <c r="G11" i="18" a="1"/>
  <c r="G11" i="18" s="1"/>
  <c r="J12" i="18" a="1"/>
  <c r="J12" i="18" s="1"/>
  <c r="G19" i="18" a="1"/>
  <c r="G19" i="18" s="1"/>
  <c r="J20" i="18" a="1"/>
  <c r="J20" i="18" s="1"/>
  <c r="G27" i="18" a="1"/>
  <c r="G27" i="18" s="1"/>
  <c r="J28" i="18" a="1"/>
  <c r="J28" i="18" s="1"/>
  <c r="G35" i="18" a="1"/>
  <c r="G35" i="18" s="1"/>
  <c r="G6" i="18" a="1"/>
  <c r="G6" i="18" s="1"/>
  <c r="G8" i="18" a="1"/>
  <c r="G8" i="18" s="1"/>
  <c r="J9" i="18" a="1"/>
  <c r="J9" i="18" s="1"/>
  <c r="G16" i="18" a="1"/>
  <c r="G16" i="18" s="1"/>
  <c r="J17" i="18" a="1"/>
  <c r="J17" i="18" s="1"/>
  <c r="G24" i="18" a="1"/>
  <c r="G24" i="18" s="1"/>
  <c r="J25" i="18" a="1"/>
  <c r="J25" i="18" s="1"/>
  <c r="G32" i="18" a="1"/>
  <c r="G32" i="18" s="1"/>
  <c r="G36" i="18" a="1"/>
  <c r="G36" i="18" s="1"/>
  <c r="J2" i="18" a="1"/>
  <c r="J2" i="18" s="1"/>
  <c r="J4" i="18" a="1"/>
  <c r="J4" i="18" s="1"/>
  <c r="J1" i="18" a="1"/>
  <c r="J1" i="18" s="1"/>
  <c r="G4" i="18" a="1"/>
  <c r="G4" i="18" s="1"/>
  <c r="J5" i="18" a="1"/>
  <c r="J5" i="18" s="1"/>
  <c r="J7" i="18" a="1"/>
  <c r="J7" i="18" s="1"/>
  <c r="G10" i="18" a="1"/>
  <c r="G10" i="18" s="1"/>
  <c r="J11" i="18" a="1"/>
  <c r="J11" i="18" s="1"/>
  <c r="G14" i="18" a="1"/>
  <c r="G14" i="18" s="1"/>
  <c r="J15" i="18" a="1"/>
  <c r="J15" i="18" s="1"/>
  <c r="G18" i="18" a="1"/>
  <c r="G18" i="18" s="1"/>
  <c r="J19" i="18" a="1"/>
  <c r="J19" i="18" s="1"/>
  <c r="G22" i="18" a="1"/>
  <c r="G22" i="18" s="1"/>
  <c r="J23" i="18" a="1"/>
  <c r="J23" i="18" s="1"/>
  <c r="G26" i="18" a="1"/>
  <c r="G26" i="18" s="1"/>
  <c r="J27" i="18" a="1"/>
  <c r="J27" i="18" s="1"/>
  <c r="G30" i="18" a="1"/>
  <c r="G30" i="18" s="1"/>
  <c r="J31" i="18" a="1"/>
  <c r="J31" i="18" s="1"/>
  <c r="G34" i="18" a="1"/>
  <c r="G34" i="18" s="1"/>
  <c r="J35" i="18" a="1"/>
  <c r="J35" i="18" s="1"/>
  <c r="G38" i="18" a="1"/>
  <c r="G38" i="18" s="1"/>
  <c r="I40" i="13" l="1"/>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I1" i="13"/>
  <c r="J39" i="13" l="1" a="1"/>
  <c r="J39" i="13" s="1"/>
  <c r="G38" i="13" a="1"/>
  <c r="G38" i="13" s="1"/>
  <c r="J35" i="13" a="1"/>
  <c r="J35" i="13" s="1"/>
  <c r="G34" i="13" a="1"/>
  <c r="G34" i="13" s="1"/>
  <c r="J31" i="13" a="1"/>
  <c r="J31" i="13" s="1"/>
  <c r="G30" i="13" a="1"/>
  <c r="G30" i="13" s="1"/>
  <c r="J27" i="13" a="1"/>
  <c r="J27" i="13" s="1"/>
  <c r="G26" i="13" a="1"/>
  <c r="G26" i="13" s="1"/>
  <c r="J23" i="13" a="1"/>
  <c r="J23" i="13" s="1"/>
  <c r="G22" i="13" a="1"/>
  <c r="G22" i="13" s="1"/>
  <c r="J19" i="13" a="1"/>
  <c r="J19" i="13" s="1"/>
  <c r="G18" i="13" a="1"/>
  <c r="G18" i="13" s="1"/>
  <c r="J15" i="13" a="1"/>
  <c r="J15" i="13" s="1"/>
  <c r="G14" i="13" a="1"/>
  <c r="G14" i="13" s="1"/>
  <c r="J11" i="13" a="1"/>
  <c r="J11" i="13" s="1"/>
  <c r="G10" i="13" a="1"/>
  <c r="G10" i="13" s="1"/>
  <c r="J7" i="13" a="1"/>
  <c r="J7" i="13" s="1"/>
  <c r="G6" i="13" a="1"/>
  <c r="G6" i="13" s="1"/>
  <c r="J3" i="13" a="1"/>
  <c r="J3" i="13" s="1"/>
  <c r="J25" i="13" a="1"/>
  <c r="J25" i="13" s="1"/>
  <c r="G24" i="13" a="1"/>
  <c r="G24" i="13" s="1"/>
  <c r="J17" i="13" a="1"/>
  <c r="J17" i="13" s="1"/>
  <c r="G16" i="13" a="1"/>
  <c r="G16" i="13" s="1"/>
  <c r="G44" i="13" a="1"/>
  <c r="G44" i="13" s="1"/>
  <c r="G42" i="13" a="1"/>
  <c r="G42" i="13" s="1"/>
  <c r="G41" i="13" a="1"/>
  <c r="G41" i="13" s="1"/>
  <c r="J38" i="13" a="1"/>
  <c r="J38" i="13" s="1"/>
  <c r="G37" i="13" a="1"/>
  <c r="G37" i="13" s="1"/>
  <c r="J34" i="13" a="1"/>
  <c r="J34" i="13" s="1"/>
  <c r="G33" i="13" a="1"/>
  <c r="G33" i="13" s="1"/>
  <c r="J30" i="13" a="1"/>
  <c r="J30" i="13" s="1"/>
  <c r="G29" i="13" a="1"/>
  <c r="G29" i="13" s="1"/>
  <c r="J26" i="13" a="1"/>
  <c r="J26" i="13" s="1"/>
  <c r="G25" i="13" a="1"/>
  <c r="G25" i="13" s="1"/>
  <c r="J22" i="13" a="1"/>
  <c r="J22" i="13" s="1"/>
  <c r="G21" i="13" a="1"/>
  <c r="G21" i="13" s="1"/>
  <c r="J18" i="13" a="1"/>
  <c r="J18" i="13" s="1"/>
  <c r="G17" i="13" a="1"/>
  <c r="G17" i="13" s="1"/>
  <c r="J14" i="13" a="1"/>
  <c r="J14" i="13" s="1"/>
  <c r="G13" i="13" a="1"/>
  <c r="G13" i="13" s="1"/>
  <c r="J10" i="13" a="1"/>
  <c r="J10" i="13" s="1"/>
  <c r="G9" i="13" a="1"/>
  <c r="G9" i="13" s="1"/>
  <c r="J6" i="13" a="1"/>
  <c r="J6" i="13" s="1"/>
  <c r="G5" i="13" a="1"/>
  <c r="G5" i="13" s="1"/>
  <c r="G40" i="13" a="1"/>
  <c r="G40" i="13" s="1"/>
  <c r="J37" i="13" a="1"/>
  <c r="J37" i="13" s="1"/>
  <c r="G36" i="13" a="1"/>
  <c r="G36" i="13" s="1"/>
  <c r="J33" i="13" a="1"/>
  <c r="J33" i="13" s="1"/>
  <c r="G32" i="13" a="1"/>
  <c r="G32" i="13" s="1"/>
  <c r="J29" i="13" a="1"/>
  <c r="J29" i="13" s="1"/>
  <c r="G28" i="13" a="1"/>
  <c r="G28" i="13" s="1"/>
  <c r="J21" i="13" a="1"/>
  <c r="J21" i="13" s="1"/>
  <c r="G20" i="13" a="1"/>
  <c r="G20" i="13" s="1"/>
  <c r="J13" i="13" a="1"/>
  <c r="J13" i="13" s="1"/>
  <c r="G12" i="13" a="1"/>
  <c r="G12" i="13" s="1"/>
  <c r="J9" i="13" a="1"/>
  <c r="J9" i="13" s="1"/>
  <c r="G8" i="13" a="1"/>
  <c r="G8" i="13" s="1"/>
  <c r="J5" i="13" a="1"/>
  <c r="J5" i="13" s="1"/>
  <c r="G4" i="13" a="1"/>
  <c r="G4" i="13" s="1"/>
  <c r="J1" i="13" a="1"/>
  <c r="J1" i="13" s="1"/>
  <c r="G43" i="13" a="1"/>
  <c r="G43" i="13" s="1"/>
  <c r="J41" i="13" a="1"/>
  <c r="J41" i="13" s="1"/>
  <c r="J40" i="13" a="1"/>
  <c r="J40" i="13" s="1"/>
  <c r="G39" i="13" a="1"/>
  <c r="G39" i="13" s="1"/>
  <c r="J36" i="13" a="1"/>
  <c r="J36" i="13" s="1"/>
  <c r="G35" i="13" a="1"/>
  <c r="G35" i="13" s="1"/>
  <c r="J2" i="13" a="1"/>
  <c r="J2" i="13" s="1"/>
  <c r="J4" i="13" a="1"/>
  <c r="J4" i="13" s="1"/>
  <c r="G7" i="13" a="1"/>
  <c r="G7" i="13" s="1"/>
  <c r="J8" i="13" a="1"/>
  <c r="J8" i="13" s="1"/>
  <c r="G11" i="13" a="1"/>
  <c r="G11" i="13" s="1"/>
  <c r="J12" i="13" a="1"/>
  <c r="J12" i="13" s="1"/>
  <c r="G15" i="13" a="1"/>
  <c r="G15" i="13" s="1"/>
  <c r="J16" i="13" a="1"/>
  <c r="J16" i="13" s="1"/>
  <c r="G19" i="13" a="1"/>
  <c r="G19" i="13" s="1"/>
  <c r="J20" i="13" a="1"/>
  <c r="J20" i="13" s="1"/>
  <c r="G23" i="13" a="1"/>
  <c r="G23" i="13" s="1"/>
  <c r="J24" i="13" a="1"/>
  <c r="J24" i="13" s="1"/>
  <c r="G27" i="13" a="1"/>
  <c r="G27" i="13" s="1"/>
  <c r="J28" i="13" a="1"/>
  <c r="J28" i="13" s="1"/>
  <c r="G31" i="13" a="1"/>
  <c r="G31" i="13" s="1"/>
  <c r="J32" i="13" a="1"/>
  <c r="J32" i="13" s="1"/>
  <c r="I40" i="16" l="1"/>
  <c r="I39" i="16"/>
  <c r="I38" i="16"/>
  <c r="I37" i="16"/>
  <c r="I36" i="16"/>
  <c r="I35" i="16"/>
  <c r="I34" i="16"/>
  <c r="I33" i="16"/>
  <c r="I32" i="16"/>
  <c r="I31" i="16"/>
  <c r="I30" i="16"/>
  <c r="I29" i="16"/>
  <c r="I28" i="16"/>
  <c r="I27" i="16"/>
  <c r="I26" i="16"/>
  <c r="I25" i="16"/>
  <c r="I24" i="16"/>
  <c r="I23" i="16"/>
  <c r="I22" i="16"/>
  <c r="I21" i="16"/>
  <c r="I20" i="16"/>
  <c r="I19" i="16"/>
  <c r="I18" i="16"/>
  <c r="I17" i="16"/>
  <c r="I16" i="16"/>
  <c r="I15" i="16"/>
  <c r="I14" i="16"/>
  <c r="I13" i="16"/>
  <c r="I12" i="16"/>
  <c r="I11" i="16"/>
  <c r="I10" i="16"/>
  <c r="I9" i="16"/>
  <c r="I8" i="16"/>
  <c r="I7" i="16"/>
  <c r="G7" i="16" a="1"/>
  <c r="G7" i="16" s="1"/>
  <c r="I6" i="16"/>
  <c r="I5" i="16"/>
  <c r="J4" i="16" a="1"/>
  <c r="J4" i="16" s="1"/>
  <c r="I4" i="16"/>
  <c r="I3" i="16"/>
  <c r="J2" i="16" a="1"/>
  <c r="J2" i="16" s="1"/>
  <c r="I2" i="16"/>
  <c r="I1" i="16"/>
  <c r="G1" i="16"/>
  <c r="B1" i="16"/>
  <c r="J39" i="16" l="1" a="1"/>
  <c r="J39" i="16" s="1"/>
  <c r="G38" i="16" a="1"/>
  <c r="G38" i="16" s="1"/>
  <c r="J35" i="16" a="1"/>
  <c r="J35" i="16" s="1"/>
  <c r="G34" i="16" a="1"/>
  <c r="G34" i="16" s="1"/>
  <c r="J31" i="16" a="1"/>
  <c r="J31" i="16" s="1"/>
  <c r="G30" i="16" a="1"/>
  <c r="G30" i="16" s="1"/>
  <c r="J27" i="16" a="1"/>
  <c r="J27" i="16" s="1"/>
  <c r="G26" i="16" a="1"/>
  <c r="G26" i="16" s="1"/>
  <c r="J23" i="16" a="1"/>
  <c r="J23" i="16" s="1"/>
  <c r="G22" i="16" a="1"/>
  <c r="G22" i="16" s="1"/>
  <c r="J19" i="16" a="1"/>
  <c r="J19" i="16" s="1"/>
  <c r="G18" i="16" a="1"/>
  <c r="G18" i="16" s="1"/>
  <c r="J15" i="16" a="1"/>
  <c r="J15" i="16" s="1"/>
  <c r="G14" i="16" a="1"/>
  <c r="G14" i="16" s="1"/>
  <c r="J11" i="16" a="1"/>
  <c r="J11" i="16" s="1"/>
  <c r="G10" i="16" a="1"/>
  <c r="G10" i="16" s="1"/>
  <c r="J7" i="16" a="1"/>
  <c r="J7" i="16" s="1"/>
  <c r="G6" i="16" a="1"/>
  <c r="G6" i="16" s="1"/>
  <c r="J3" i="16" a="1"/>
  <c r="J3" i="16" s="1"/>
  <c r="J33" i="16" a="1"/>
  <c r="J33" i="16" s="1"/>
  <c r="J21" i="16" a="1"/>
  <c r="J21" i="16" s="1"/>
  <c r="G20" i="16" a="1"/>
  <c r="G20" i="16" s="1"/>
  <c r="J13" i="16" a="1"/>
  <c r="J13" i="16" s="1"/>
  <c r="G12" i="16" a="1"/>
  <c r="G12" i="16" s="1"/>
  <c r="J9" i="16" a="1"/>
  <c r="J9" i="16" s="1"/>
  <c r="G8" i="16" a="1"/>
  <c r="G8" i="16" s="1"/>
  <c r="J41" i="16" a="1"/>
  <c r="J41" i="16" s="1"/>
  <c r="J36" i="16" a="1"/>
  <c r="J36" i="16" s="1"/>
  <c r="G35" i="16" a="1"/>
  <c r="G35" i="16" s="1"/>
  <c r="G31" i="16" a="1"/>
  <c r="G31" i="16" s="1"/>
  <c r="J28" i="16" a="1"/>
  <c r="J28" i="16" s="1"/>
  <c r="G27" i="16" a="1"/>
  <c r="G27" i="16" s="1"/>
  <c r="J24" i="16" a="1"/>
  <c r="J24" i="16" s="1"/>
  <c r="G23" i="16" a="1"/>
  <c r="G23" i="16" s="1"/>
  <c r="J20" i="16" a="1"/>
  <c r="J20" i="16" s="1"/>
  <c r="G19" i="16" a="1"/>
  <c r="G19" i="16" s="1"/>
  <c r="J16" i="16" a="1"/>
  <c r="J16" i="16" s="1"/>
  <c r="G15" i="16" a="1"/>
  <c r="G15" i="16" s="1"/>
  <c r="J12" i="16" a="1"/>
  <c r="J12" i="16" s="1"/>
  <c r="G11" i="16" a="1"/>
  <c r="G11" i="16" s="1"/>
  <c r="J8" i="16" a="1"/>
  <c r="J8" i="16" s="1"/>
  <c r="G44" i="16" a="1"/>
  <c r="G44" i="16" s="1"/>
  <c r="G42" i="16" a="1"/>
  <c r="G42" i="16" s="1"/>
  <c r="G41" i="16" a="1"/>
  <c r="G41" i="16" s="1"/>
  <c r="J38" i="16" a="1"/>
  <c r="J38" i="16" s="1"/>
  <c r="G37" i="16" a="1"/>
  <c r="G37" i="16" s="1"/>
  <c r="J34" i="16" a="1"/>
  <c r="J34" i="16" s="1"/>
  <c r="G33" i="16" a="1"/>
  <c r="G33" i="16" s="1"/>
  <c r="J30" i="16" a="1"/>
  <c r="J30" i="16" s="1"/>
  <c r="G29" i="16" a="1"/>
  <c r="G29" i="16" s="1"/>
  <c r="J26" i="16" a="1"/>
  <c r="J26" i="16" s="1"/>
  <c r="G25" i="16" a="1"/>
  <c r="G25" i="16" s="1"/>
  <c r="J22" i="16" a="1"/>
  <c r="J22" i="16" s="1"/>
  <c r="G21" i="16" a="1"/>
  <c r="G21" i="16" s="1"/>
  <c r="J18" i="16" a="1"/>
  <c r="J18" i="16" s="1"/>
  <c r="G17" i="16" a="1"/>
  <c r="G17" i="16" s="1"/>
  <c r="J14" i="16" a="1"/>
  <c r="J14" i="16" s="1"/>
  <c r="G13" i="16" a="1"/>
  <c r="G13" i="16" s="1"/>
  <c r="J10" i="16" a="1"/>
  <c r="J10" i="16" s="1"/>
  <c r="G9" i="16" a="1"/>
  <c r="G9" i="16" s="1"/>
  <c r="J6" i="16" a="1"/>
  <c r="J6" i="16" s="1"/>
  <c r="G5" i="16" a="1"/>
  <c r="G5" i="16" s="1"/>
  <c r="G40" i="16" a="1"/>
  <c r="G40" i="16" s="1"/>
  <c r="J37" i="16" a="1"/>
  <c r="J37" i="16" s="1"/>
  <c r="G36" i="16" a="1"/>
  <c r="G36" i="16" s="1"/>
  <c r="G32" i="16" a="1"/>
  <c r="G32" i="16" s="1"/>
  <c r="J29" i="16" a="1"/>
  <c r="J29" i="16" s="1"/>
  <c r="G28" i="16" a="1"/>
  <c r="G28" i="16" s="1"/>
  <c r="J25" i="16" a="1"/>
  <c r="J25" i="16" s="1"/>
  <c r="G24" i="16" a="1"/>
  <c r="G24" i="16" s="1"/>
  <c r="J17" i="16" a="1"/>
  <c r="J17" i="16" s="1"/>
  <c r="G16" i="16" a="1"/>
  <c r="G16" i="16" s="1"/>
  <c r="J5" i="16" a="1"/>
  <c r="J5" i="16" s="1"/>
  <c r="G4" i="16" a="1"/>
  <c r="G4" i="16" s="1"/>
  <c r="J1" i="16" a="1"/>
  <c r="J1" i="16" s="1"/>
  <c r="G43" i="16" a="1"/>
  <c r="G43" i="16" s="1"/>
  <c r="J40" i="16" a="1"/>
  <c r="J40" i="16" s="1"/>
  <c r="G39" i="16" a="1"/>
  <c r="G39" i="16" s="1"/>
  <c r="J32" i="16" a="1"/>
  <c r="J32" i="16" s="1"/>
  <c r="I40" i="8" l="1"/>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I10" i="8"/>
  <c r="I9" i="8"/>
  <c r="I8" i="8"/>
  <c r="I7" i="8"/>
  <c r="G7" i="8" a="1"/>
  <c r="G7" i="8" s="1"/>
  <c r="I6" i="8"/>
  <c r="I5" i="8"/>
  <c r="J4" i="8" a="1"/>
  <c r="J4" i="8" s="1"/>
  <c r="I4" i="8"/>
  <c r="I3" i="8"/>
  <c r="J2" i="8" a="1"/>
  <c r="J2" i="8" s="1"/>
  <c r="I2" i="8"/>
  <c r="I1" i="8"/>
  <c r="G1" i="8"/>
  <c r="B1" i="8"/>
  <c r="J39" i="8" l="1" a="1"/>
  <c r="J39" i="8" s="1"/>
  <c r="G38" i="8" a="1"/>
  <c r="G38" i="8" s="1"/>
  <c r="J35" i="8" a="1"/>
  <c r="J35" i="8" s="1"/>
  <c r="G34" i="8" a="1"/>
  <c r="G34" i="8" s="1"/>
  <c r="J31" i="8" a="1"/>
  <c r="J31" i="8" s="1"/>
  <c r="G30" i="8" a="1"/>
  <c r="G30" i="8" s="1"/>
  <c r="J27" i="8" a="1"/>
  <c r="J27" i="8" s="1"/>
  <c r="G26" i="8" a="1"/>
  <c r="G26" i="8" s="1"/>
  <c r="J23" i="8" a="1"/>
  <c r="J23" i="8" s="1"/>
  <c r="G22" i="8" a="1"/>
  <c r="G22" i="8" s="1"/>
  <c r="J19" i="8" a="1"/>
  <c r="J19" i="8" s="1"/>
  <c r="G18" i="8" a="1"/>
  <c r="G18" i="8" s="1"/>
  <c r="J15" i="8" a="1"/>
  <c r="J15" i="8" s="1"/>
  <c r="G14" i="8" a="1"/>
  <c r="G14" i="8" s="1"/>
  <c r="J11" i="8" a="1"/>
  <c r="J11" i="8" s="1"/>
  <c r="G10" i="8" a="1"/>
  <c r="G10" i="8" s="1"/>
  <c r="J7" i="8" a="1"/>
  <c r="J7" i="8" s="1"/>
  <c r="G6" i="8" a="1"/>
  <c r="G6" i="8" s="1"/>
  <c r="J3" i="8" a="1"/>
  <c r="J3" i="8" s="1"/>
  <c r="J29" i="8" a="1"/>
  <c r="J29" i="8" s="1"/>
  <c r="G28" i="8" a="1"/>
  <c r="G28" i="8" s="1"/>
  <c r="G24" i="8" a="1"/>
  <c r="G24" i="8" s="1"/>
  <c r="J17" i="8" a="1"/>
  <c r="J17" i="8" s="1"/>
  <c r="G16" i="8" a="1"/>
  <c r="G16" i="8" s="1"/>
  <c r="J13" i="8" a="1"/>
  <c r="J13" i="8" s="1"/>
  <c r="G12" i="8" a="1"/>
  <c r="G12" i="8" s="1"/>
  <c r="J9" i="8" a="1"/>
  <c r="J9" i="8" s="1"/>
  <c r="G8" i="8" a="1"/>
  <c r="G8" i="8" s="1"/>
  <c r="G4" i="8" a="1"/>
  <c r="G4" i="8" s="1"/>
  <c r="G43" i="8" a="1"/>
  <c r="G43" i="8" s="1"/>
  <c r="J40" i="8" a="1"/>
  <c r="J40" i="8" s="1"/>
  <c r="G39" i="8" a="1"/>
  <c r="G39" i="8" s="1"/>
  <c r="J36" i="8" a="1"/>
  <c r="J36" i="8" s="1"/>
  <c r="G35" i="8" a="1"/>
  <c r="G35" i="8" s="1"/>
  <c r="J28" i="8" a="1"/>
  <c r="J28" i="8" s="1"/>
  <c r="G27" i="8" a="1"/>
  <c r="G27" i="8" s="1"/>
  <c r="J24" i="8" a="1"/>
  <c r="J24" i="8" s="1"/>
  <c r="G23" i="8" a="1"/>
  <c r="G23" i="8" s="1"/>
  <c r="J20" i="8" a="1"/>
  <c r="J20" i="8" s="1"/>
  <c r="G19" i="8" a="1"/>
  <c r="G19" i="8" s="1"/>
  <c r="J12" i="8" a="1"/>
  <c r="J12" i="8" s="1"/>
  <c r="G11" i="8" a="1"/>
  <c r="G11" i="8" s="1"/>
  <c r="J8" i="8" a="1"/>
  <c r="J8" i="8" s="1"/>
  <c r="G44" i="8" a="1"/>
  <c r="G44" i="8" s="1"/>
  <c r="G42" i="8" a="1"/>
  <c r="G42" i="8" s="1"/>
  <c r="G41" i="8" a="1"/>
  <c r="G41" i="8" s="1"/>
  <c r="J38" i="8" a="1"/>
  <c r="J38" i="8" s="1"/>
  <c r="G37" i="8" a="1"/>
  <c r="G37" i="8" s="1"/>
  <c r="J34" i="8" a="1"/>
  <c r="J34" i="8" s="1"/>
  <c r="G33" i="8" a="1"/>
  <c r="G33" i="8" s="1"/>
  <c r="J30" i="8" a="1"/>
  <c r="J30" i="8" s="1"/>
  <c r="G29" i="8" a="1"/>
  <c r="G29" i="8" s="1"/>
  <c r="J26" i="8" a="1"/>
  <c r="J26" i="8" s="1"/>
  <c r="G25" i="8" a="1"/>
  <c r="G25" i="8" s="1"/>
  <c r="J22" i="8" a="1"/>
  <c r="J22" i="8" s="1"/>
  <c r="G21" i="8" a="1"/>
  <c r="G21" i="8" s="1"/>
  <c r="J18" i="8" a="1"/>
  <c r="J18" i="8" s="1"/>
  <c r="G17" i="8" a="1"/>
  <c r="G17" i="8" s="1"/>
  <c r="J14" i="8" a="1"/>
  <c r="J14" i="8" s="1"/>
  <c r="G13" i="8" a="1"/>
  <c r="G13" i="8" s="1"/>
  <c r="J10" i="8" a="1"/>
  <c r="J10" i="8" s="1"/>
  <c r="G9" i="8" a="1"/>
  <c r="G9" i="8" s="1"/>
  <c r="J6" i="8" a="1"/>
  <c r="J6" i="8" s="1"/>
  <c r="G5" i="8" a="1"/>
  <c r="G5" i="8" s="1"/>
  <c r="G40" i="8" a="1"/>
  <c r="G40" i="8" s="1"/>
  <c r="J37" i="8" a="1"/>
  <c r="J37" i="8" s="1"/>
  <c r="G36" i="8" a="1"/>
  <c r="G36" i="8" s="1"/>
  <c r="J33" i="8" a="1"/>
  <c r="J33" i="8" s="1"/>
  <c r="G32" i="8" a="1"/>
  <c r="G32" i="8" s="1"/>
  <c r="J25" i="8" a="1"/>
  <c r="J25" i="8" s="1"/>
  <c r="J21" i="8" a="1"/>
  <c r="J21" i="8" s="1"/>
  <c r="G20" i="8" a="1"/>
  <c r="G20" i="8" s="1"/>
  <c r="J5" i="8" a="1"/>
  <c r="J5" i="8" s="1"/>
  <c r="J1" i="8" a="1"/>
  <c r="J1" i="8" s="1"/>
  <c r="J41" i="8" a="1"/>
  <c r="J41" i="8" s="1"/>
  <c r="J32" i="8" a="1"/>
  <c r="J32" i="8" s="1"/>
  <c r="G31" i="8" a="1"/>
  <c r="G31" i="8" s="1"/>
  <c r="J16" i="8" a="1"/>
  <c r="J16" i="8" s="1"/>
  <c r="G15" i="8" a="1"/>
  <c r="G15" i="8" s="1"/>
  <c r="I40" i="15" l="1"/>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9" i="15"/>
  <c r="I8" i="15"/>
  <c r="I7" i="15"/>
  <c r="I6" i="15"/>
  <c r="I5" i="15"/>
  <c r="I4" i="15"/>
  <c r="I3" i="15"/>
  <c r="I2" i="15"/>
  <c r="I1" i="15"/>
  <c r="J39" i="15" s="1" a="1"/>
  <c r="J39" i="15" s="1"/>
  <c r="J12" i="15" l="1" a="1"/>
  <c r="J12" i="15" s="1"/>
  <c r="G23" i="15" a="1"/>
  <c r="G23" i="15" s="1"/>
  <c r="J24" i="15" a="1"/>
  <c r="J24" i="15" s="1"/>
  <c r="G35" i="15" a="1"/>
  <c r="G35" i="15" s="1"/>
  <c r="J36" i="15" a="1"/>
  <c r="J36" i="15" s="1"/>
  <c r="G39" i="15" a="1"/>
  <c r="G39" i="15" s="1"/>
  <c r="J41" i="15" a="1"/>
  <c r="J41" i="15" s="1"/>
  <c r="G4" i="15" a="1"/>
  <c r="G4" i="15" s="1"/>
  <c r="J5" i="15" a="1"/>
  <c r="J5" i="15" s="1"/>
  <c r="G8" i="15" a="1"/>
  <c r="G8" i="15" s="1"/>
  <c r="J9" i="15" a="1"/>
  <c r="J9" i="15" s="1"/>
  <c r="G12" i="15" a="1"/>
  <c r="G12" i="15" s="1"/>
  <c r="J13" i="15" a="1"/>
  <c r="J13" i="15" s="1"/>
  <c r="G16" i="15" a="1"/>
  <c r="G16" i="15" s="1"/>
  <c r="J17" i="15" a="1"/>
  <c r="J17" i="15" s="1"/>
  <c r="G20" i="15" a="1"/>
  <c r="G20" i="15" s="1"/>
  <c r="J21" i="15" a="1"/>
  <c r="J21" i="15" s="1"/>
  <c r="G24" i="15" a="1"/>
  <c r="G24" i="15" s="1"/>
  <c r="J25" i="15" a="1"/>
  <c r="J25" i="15" s="1"/>
  <c r="G28" i="15" a="1"/>
  <c r="G28" i="15" s="1"/>
  <c r="J29" i="15" a="1"/>
  <c r="J29" i="15" s="1"/>
  <c r="G32" i="15" a="1"/>
  <c r="G32" i="15" s="1"/>
  <c r="J33" i="15" a="1"/>
  <c r="J33" i="15" s="1"/>
  <c r="G36" i="15" a="1"/>
  <c r="G36" i="15" s="1"/>
  <c r="J37" i="15" a="1"/>
  <c r="J37" i="15" s="1"/>
  <c r="G40" i="15" a="1"/>
  <c r="G40" i="15" s="1"/>
  <c r="G7" i="15" a="1"/>
  <c r="G7" i="15" s="1"/>
  <c r="J8" i="15" a="1"/>
  <c r="J8" i="15" s="1"/>
  <c r="G11" i="15" a="1"/>
  <c r="G11" i="15" s="1"/>
  <c r="J20" i="15" a="1"/>
  <c r="J20" i="15" s="1"/>
  <c r="G27" i="15" a="1"/>
  <c r="G27" i="15" s="1"/>
  <c r="J28" i="15" a="1"/>
  <c r="J28" i="15" s="1"/>
  <c r="G31" i="15" a="1"/>
  <c r="G31" i="15" s="1"/>
  <c r="J32" i="15" a="1"/>
  <c r="J32" i="15" s="1"/>
  <c r="J40" i="15" a="1"/>
  <c r="J40" i="15" s="1"/>
  <c r="G43" i="15" a="1"/>
  <c r="G43" i="15" s="1"/>
  <c r="J1" i="15" a="1"/>
  <c r="J1" i="15" s="1"/>
  <c r="G5" i="15" a="1"/>
  <c r="G5" i="15" s="1"/>
  <c r="J6" i="15" a="1"/>
  <c r="J6" i="15" s="1"/>
  <c r="G9" i="15" a="1"/>
  <c r="G9" i="15" s="1"/>
  <c r="J10" i="15" a="1"/>
  <c r="J10" i="15" s="1"/>
  <c r="G13" i="15" a="1"/>
  <c r="G13" i="15" s="1"/>
  <c r="J14" i="15" a="1"/>
  <c r="J14" i="15" s="1"/>
  <c r="G17" i="15" a="1"/>
  <c r="G17" i="15" s="1"/>
  <c r="J18" i="15" a="1"/>
  <c r="J18" i="15" s="1"/>
  <c r="G21" i="15" a="1"/>
  <c r="G21" i="15" s="1"/>
  <c r="J22" i="15" a="1"/>
  <c r="J22" i="15" s="1"/>
  <c r="G25" i="15" a="1"/>
  <c r="G25" i="15" s="1"/>
  <c r="J26" i="15" a="1"/>
  <c r="J26" i="15" s="1"/>
  <c r="G29" i="15" a="1"/>
  <c r="G29" i="15" s="1"/>
  <c r="J30" i="15" a="1"/>
  <c r="J30" i="15" s="1"/>
  <c r="G33" i="15" a="1"/>
  <c r="G33" i="15" s="1"/>
  <c r="J34" i="15" a="1"/>
  <c r="J34" i="15" s="1"/>
  <c r="G37" i="15" a="1"/>
  <c r="G37" i="15" s="1"/>
  <c r="J38" i="15" a="1"/>
  <c r="J38" i="15" s="1"/>
  <c r="G41" i="15" a="1"/>
  <c r="G41" i="15" s="1"/>
  <c r="G42" i="15" a="1"/>
  <c r="G42" i="15" s="1"/>
  <c r="G44" i="15" a="1"/>
  <c r="G44" i="15" s="1"/>
  <c r="J2" i="15" a="1"/>
  <c r="J2" i="15" s="1"/>
  <c r="J4" i="15" a="1"/>
  <c r="J4" i="15" s="1"/>
  <c r="G15" i="15" a="1"/>
  <c r="G15" i="15" s="1"/>
  <c r="J16" i="15" a="1"/>
  <c r="J16" i="15" s="1"/>
  <c r="G19" i="15" a="1"/>
  <c r="G19" i="15" s="1"/>
  <c r="J3" i="15" a="1"/>
  <c r="J3" i="15" s="1"/>
  <c r="G6" i="15" a="1"/>
  <c r="G6" i="15" s="1"/>
  <c r="J7" i="15" a="1"/>
  <c r="J7" i="15" s="1"/>
  <c r="G10" i="15" a="1"/>
  <c r="G10" i="15" s="1"/>
  <c r="J11" i="15" a="1"/>
  <c r="J11" i="15" s="1"/>
  <c r="G14" i="15" a="1"/>
  <c r="G14" i="15" s="1"/>
  <c r="J15" i="15" a="1"/>
  <c r="J15" i="15" s="1"/>
  <c r="G18" i="15" a="1"/>
  <c r="G18" i="15" s="1"/>
  <c r="J19" i="15" a="1"/>
  <c r="J19" i="15" s="1"/>
  <c r="G22" i="15" a="1"/>
  <c r="G22" i="15" s="1"/>
  <c r="J23" i="15" a="1"/>
  <c r="J23" i="15" s="1"/>
  <c r="G26" i="15" a="1"/>
  <c r="G26" i="15" s="1"/>
  <c r="J27" i="15" a="1"/>
  <c r="J27" i="15" s="1"/>
  <c r="G30" i="15" a="1"/>
  <c r="G30" i="15" s="1"/>
  <c r="J31" i="15" a="1"/>
  <c r="J31" i="15" s="1"/>
  <c r="G34" i="15" a="1"/>
  <c r="G34" i="15" s="1"/>
  <c r="J35" i="15" a="1"/>
  <c r="J35" i="15" s="1"/>
  <c r="G38" i="15" a="1"/>
  <c r="G38" i="15" s="1"/>
  <c r="I40" i="14" l="1"/>
  <c r="I39" i="14"/>
  <c r="I38" i="14"/>
  <c r="I37" i="14"/>
  <c r="I36"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 i="14"/>
  <c r="I2" i="14"/>
  <c r="I1" i="14"/>
  <c r="J39" i="14" s="1" a="1"/>
  <c r="J39" i="14" s="1"/>
  <c r="G1" i="14"/>
  <c r="B1" i="14"/>
  <c r="G11" i="14" l="1" a="1"/>
  <c r="G11" i="14" s="1"/>
  <c r="J12" i="14" a="1"/>
  <c r="J12" i="14" s="1"/>
  <c r="G19" i="14" a="1"/>
  <c r="G19" i="14" s="1"/>
  <c r="J20" i="14" a="1"/>
  <c r="J20" i="14" s="1"/>
  <c r="G27" i="14" a="1"/>
  <c r="G27" i="14" s="1"/>
  <c r="J28" i="14" a="1"/>
  <c r="J28" i="14" s="1"/>
  <c r="G35" i="14" a="1"/>
  <c r="G35" i="14" s="1"/>
  <c r="J36" i="14" a="1"/>
  <c r="J36" i="14" s="1"/>
  <c r="J40" i="14" a="1"/>
  <c r="J40" i="14" s="1"/>
  <c r="J41" i="14" a="1"/>
  <c r="J41" i="14" s="1"/>
  <c r="J9" i="14" a="1"/>
  <c r="J9" i="14" s="1"/>
  <c r="G12" i="14" a="1"/>
  <c r="G12" i="14" s="1"/>
  <c r="J13" i="14" a="1"/>
  <c r="J13" i="14" s="1"/>
  <c r="G16" i="14" a="1"/>
  <c r="G16" i="14" s="1"/>
  <c r="J17" i="14" a="1"/>
  <c r="J17" i="14" s="1"/>
  <c r="G20" i="14" a="1"/>
  <c r="G20" i="14" s="1"/>
  <c r="J21" i="14" a="1"/>
  <c r="J21" i="14" s="1"/>
  <c r="G24" i="14" a="1"/>
  <c r="G24" i="14" s="1"/>
  <c r="J25" i="14" a="1"/>
  <c r="J25" i="14" s="1"/>
  <c r="G28" i="14" a="1"/>
  <c r="G28" i="14" s="1"/>
  <c r="J29" i="14" a="1"/>
  <c r="J29" i="14" s="1"/>
  <c r="G32" i="14" a="1"/>
  <c r="G32" i="14" s="1"/>
  <c r="J33" i="14" a="1"/>
  <c r="J33" i="14" s="1"/>
  <c r="G36" i="14" a="1"/>
  <c r="G36" i="14" s="1"/>
  <c r="J37" i="14" a="1"/>
  <c r="J37" i="14" s="1"/>
  <c r="G40" i="14" a="1"/>
  <c r="G40" i="14" s="1"/>
  <c r="G7" i="14" a="1"/>
  <c r="G7" i="14" s="1"/>
  <c r="J8" i="14" a="1"/>
  <c r="J8" i="14" s="1"/>
  <c r="G15" i="14" a="1"/>
  <c r="G15" i="14" s="1"/>
  <c r="J16" i="14" a="1"/>
  <c r="J16" i="14" s="1"/>
  <c r="G23" i="14" a="1"/>
  <c r="G23" i="14" s="1"/>
  <c r="J24" i="14" a="1"/>
  <c r="J24" i="14" s="1"/>
  <c r="G31" i="14" a="1"/>
  <c r="G31" i="14" s="1"/>
  <c r="J32" i="14" a="1"/>
  <c r="J32" i="14" s="1"/>
  <c r="G39" i="14" a="1"/>
  <c r="G39" i="14" s="1"/>
  <c r="G43" i="14" a="1"/>
  <c r="G43" i="14" s="1"/>
  <c r="J1" i="14" a="1"/>
  <c r="J1" i="14" s="1"/>
  <c r="G4" i="14" a="1"/>
  <c r="G4" i="14" s="1"/>
  <c r="J5" i="14" a="1"/>
  <c r="J5" i="14" s="1"/>
  <c r="G8" i="14" a="1"/>
  <c r="G8" i="14" s="1"/>
  <c r="G5" i="14" a="1"/>
  <c r="G5" i="14" s="1"/>
  <c r="J6" i="14" a="1"/>
  <c r="J6" i="14" s="1"/>
  <c r="G9" i="14" a="1"/>
  <c r="G9" i="14" s="1"/>
  <c r="J10" i="14" a="1"/>
  <c r="J10" i="14" s="1"/>
  <c r="G13" i="14" a="1"/>
  <c r="G13" i="14" s="1"/>
  <c r="J14" i="14" a="1"/>
  <c r="J14" i="14" s="1"/>
  <c r="G17" i="14" a="1"/>
  <c r="G17" i="14" s="1"/>
  <c r="J18" i="14" a="1"/>
  <c r="J18" i="14" s="1"/>
  <c r="G21" i="14" a="1"/>
  <c r="G21" i="14" s="1"/>
  <c r="J22" i="14" a="1"/>
  <c r="J22" i="14" s="1"/>
  <c r="G25" i="14" a="1"/>
  <c r="G25" i="14" s="1"/>
  <c r="J26" i="14" a="1"/>
  <c r="J26" i="14" s="1"/>
  <c r="G29" i="14" a="1"/>
  <c r="G29" i="14" s="1"/>
  <c r="J30" i="14" a="1"/>
  <c r="J30" i="14" s="1"/>
  <c r="G33" i="14" a="1"/>
  <c r="G33" i="14" s="1"/>
  <c r="J34" i="14" a="1"/>
  <c r="J34" i="14" s="1"/>
  <c r="G37" i="14" a="1"/>
  <c r="G37" i="14" s="1"/>
  <c r="J38" i="14" a="1"/>
  <c r="J38" i="14" s="1"/>
  <c r="G41" i="14" a="1"/>
  <c r="G41" i="14" s="1"/>
  <c r="G42" i="14" a="1"/>
  <c r="G42" i="14" s="1"/>
  <c r="G44" i="14" a="1"/>
  <c r="G44" i="14" s="1"/>
  <c r="J2" i="14" a="1"/>
  <c r="J2" i="14" s="1"/>
  <c r="J4" i="14" a="1"/>
  <c r="J4" i="14" s="1"/>
  <c r="J3" i="14" a="1"/>
  <c r="J3" i="14" s="1"/>
  <c r="G6" i="14" a="1"/>
  <c r="G6" i="14" s="1"/>
  <c r="J7" i="14" a="1"/>
  <c r="J7" i="14" s="1"/>
  <c r="G10" i="14" a="1"/>
  <c r="G10" i="14" s="1"/>
  <c r="J11" i="14" a="1"/>
  <c r="J11" i="14" s="1"/>
  <c r="G14" i="14" a="1"/>
  <c r="G14" i="14" s="1"/>
  <c r="J15" i="14" a="1"/>
  <c r="J15" i="14" s="1"/>
  <c r="G18" i="14" a="1"/>
  <c r="G18" i="14" s="1"/>
  <c r="J19" i="14" a="1"/>
  <c r="J19" i="14" s="1"/>
  <c r="G22" i="14" a="1"/>
  <c r="G22" i="14" s="1"/>
  <c r="J23" i="14" a="1"/>
  <c r="J23" i="14" s="1"/>
  <c r="G26" i="14" a="1"/>
  <c r="G26" i="14" s="1"/>
  <c r="J27" i="14" a="1"/>
  <c r="J27" i="14" s="1"/>
  <c r="G30" i="14" a="1"/>
  <c r="G30" i="14" s="1"/>
  <c r="J31" i="14" a="1"/>
  <c r="J31" i="14" s="1"/>
  <c r="G34" i="14" a="1"/>
  <c r="G34" i="14" s="1"/>
  <c r="J35" i="14" a="1"/>
  <c r="J35" i="14" s="1"/>
  <c r="G38" i="14" a="1"/>
  <c r="G38" i="14" s="1"/>
  <c r="I40" i="10" l="1"/>
  <c r="I39" i="10"/>
  <c r="I38" i="10"/>
  <c r="I37" i="10"/>
  <c r="I36" i="10"/>
  <c r="I35" i="10"/>
  <c r="I34" i="10"/>
  <c r="I33" i="10"/>
  <c r="I32" i="10"/>
  <c r="I31" i="10"/>
  <c r="I30" i="10"/>
  <c r="I29" i="10"/>
  <c r="I28" i="10"/>
  <c r="I27" i="10"/>
  <c r="I26" i="10"/>
  <c r="I25" i="10"/>
  <c r="I24" i="10"/>
  <c r="I23" i="10"/>
  <c r="I22" i="10"/>
  <c r="I21" i="10"/>
  <c r="I20" i="10"/>
  <c r="I19" i="10"/>
  <c r="I18" i="10"/>
  <c r="I17" i="10"/>
  <c r="I16" i="10"/>
  <c r="I15" i="10"/>
  <c r="I14" i="10"/>
  <c r="I13" i="10"/>
  <c r="I12" i="10"/>
  <c r="I11" i="10"/>
  <c r="I10" i="10"/>
  <c r="I9" i="10"/>
  <c r="I8" i="10"/>
  <c r="I7" i="10"/>
  <c r="I6" i="10"/>
  <c r="I5" i="10"/>
  <c r="I4" i="10"/>
  <c r="I3" i="10"/>
  <c r="I2" i="10"/>
  <c r="I1" i="10"/>
  <c r="J39" i="10" l="1" a="1"/>
  <c r="J39" i="10" s="1"/>
  <c r="G38" i="10" a="1"/>
  <c r="G38" i="10" s="1"/>
  <c r="J35" i="10" a="1"/>
  <c r="J35" i="10" s="1"/>
  <c r="G34" i="10" a="1"/>
  <c r="G34" i="10" s="1"/>
  <c r="J31" i="10" a="1"/>
  <c r="J31" i="10" s="1"/>
  <c r="G30" i="10" a="1"/>
  <c r="G30" i="10" s="1"/>
  <c r="J27" i="10" a="1"/>
  <c r="J27" i="10" s="1"/>
  <c r="G26" i="10" a="1"/>
  <c r="G26" i="10" s="1"/>
  <c r="J23" i="10" a="1"/>
  <c r="J23" i="10" s="1"/>
  <c r="G22" i="10" a="1"/>
  <c r="G22" i="10" s="1"/>
  <c r="J19" i="10" a="1"/>
  <c r="J19" i="10" s="1"/>
  <c r="G18" i="10" a="1"/>
  <c r="G18" i="10" s="1"/>
  <c r="J15" i="10" a="1"/>
  <c r="J15" i="10" s="1"/>
  <c r="G14" i="10" a="1"/>
  <c r="G14" i="10" s="1"/>
  <c r="J11" i="10" a="1"/>
  <c r="J11" i="10" s="1"/>
  <c r="G10" i="10" a="1"/>
  <c r="G10" i="10" s="1"/>
  <c r="J7" i="10" a="1"/>
  <c r="J7" i="10" s="1"/>
  <c r="G6" i="10" a="1"/>
  <c r="G6" i="10" s="1"/>
  <c r="J3" i="10" a="1"/>
  <c r="J3" i="10" s="1"/>
  <c r="J29" i="10" a="1"/>
  <c r="J29" i="10" s="1"/>
  <c r="G28" i="10" a="1"/>
  <c r="G28" i="10" s="1"/>
  <c r="J21" i="10" a="1"/>
  <c r="J21" i="10" s="1"/>
  <c r="G20" i="10" a="1"/>
  <c r="G20" i="10" s="1"/>
  <c r="J13" i="10" a="1"/>
  <c r="J13" i="10" s="1"/>
  <c r="G12" i="10" a="1"/>
  <c r="G12" i="10" s="1"/>
  <c r="G8" i="10" a="1"/>
  <c r="G8" i="10" s="1"/>
  <c r="J5" i="10" a="1"/>
  <c r="J5" i="10" s="1"/>
  <c r="G4" i="10" a="1"/>
  <c r="G4" i="10" s="1"/>
  <c r="J1" i="10" a="1"/>
  <c r="J1" i="10" s="1"/>
  <c r="G43" i="10" a="1"/>
  <c r="G43" i="10" s="1"/>
  <c r="J40" i="10" a="1"/>
  <c r="J40" i="10" s="1"/>
  <c r="J32" i="10" a="1"/>
  <c r="J32" i="10" s="1"/>
  <c r="G31" i="10" a="1"/>
  <c r="G31" i="10" s="1"/>
  <c r="J24" i="10" a="1"/>
  <c r="J24" i="10" s="1"/>
  <c r="G23" i="10" a="1"/>
  <c r="G23" i="10" s="1"/>
  <c r="J16" i="10" a="1"/>
  <c r="J16" i="10" s="1"/>
  <c r="G15" i="10" a="1"/>
  <c r="G15" i="10" s="1"/>
  <c r="G44" i="10" a="1"/>
  <c r="G44" i="10" s="1"/>
  <c r="G42" i="10" a="1"/>
  <c r="G42" i="10" s="1"/>
  <c r="G41" i="10" a="1"/>
  <c r="G41" i="10" s="1"/>
  <c r="J38" i="10" a="1"/>
  <c r="J38" i="10" s="1"/>
  <c r="G37" i="10" a="1"/>
  <c r="G37" i="10" s="1"/>
  <c r="J34" i="10" a="1"/>
  <c r="J34" i="10" s="1"/>
  <c r="G33" i="10" a="1"/>
  <c r="G33" i="10" s="1"/>
  <c r="J30" i="10" a="1"/>
  <c r="J30" i="10" s="1"/>
  <c r="G29" i="10" a="1"/>
  <c r="G29" i="10" s="1"/>
  <c r="J26" i="10" a="1"/>
  <c r="J26" i="10" s="1"/>
  <c r="G25" i="10" a="1"/>
  <c r="G25" i="10" s="1"/>
  <c r="J22" i="10" a="1"/>
  <c r="J22" i="10" s="1"/>
  <c r="G21" i="10" a="1"/>
  <c r="G21" i="10" s="1"/>
  <c r="J18" i="10" a="1"/>
  <c r="J18" i="10" s="1"/>
  <c r="G17" i="10" a="1"/>
  <c r="G17" i="10" s="1"/>
  <c r="J14" i="10" a="1"/>
  <c r="J14" i="10" s="1"/>
  <c r="G13" i="10" a="1"/>
  <c r="G13" i="10" s="1"/>
  <c r="J10" i="10" a="1"/>
  <c r="J10" i="10" s="1"/>
  <c r="G9" i="10" a="1"/>
  <c r="G9" i="10" s="1"/>
  <c r="J6" i="10" a="1"/>
  <c r="J6" i="10" s="1"/>
  <c r="G5" i="10" a="1"/>
  <c r="G5" i="10" s="1"/>
  <c r="G40" i="10" a="1"/>
  <c r="G40" i="10" s="1"/>
  <c r="J37" i="10" a="1"/>
  <c r="J37" i="10" s="1"/>
  <c r="G36" i="10" a="1"/>
  <c r="G36" i="10" s="1"/>
  <c r="J33" i="10" a="1"/>
  <c r="J33" i="10" s="1"/>
  <c r="G32" i="10" a="1"/>
  <c r="G32" i="10" s="1"/>
  <c r="J25" i="10" a="1"/>
  <c r="J25" i="10" s="1"/>
  <c r="G24" i="10" a="1"/>
  <c r="G24" i="10" s="1"/>
  <c r="J17" i="10" a="1"/>
  <c r="J17" i="10" s="1"/>
  <c r="G16" i="10" a="1"/>
  <c r="G16" i="10" s="1"/>
  <c r="J9" i="10" a="1"/>
  <c r="J9" i="10" s="1"/>
  <c r="J41" i="10" a="1"/>
  <c r="J41" i="10" s="1"/>
  <c r="G39" i="10" a="1"/>
  <c r="G39" i="10" s="1"/>
  <c r="J36" i="10" a="1"/>
  <c r="J36" i="10" s="1"/>
  <c r="G35" i="10" a="1"/>
  <c r="G35" i="10" s="1"/>
  <c r="J28" i="10" a="1"/>
  <c r="J28" i="10" s="1"/>
  <c r="G27" i="10" a="1"/>
  <c r="G27" i="10" s="1"/>
  <c r="J20" i="10" a="1"/>
  <c r="J20" i="10" s="1"/>
  <c r="G19" i="10" a="1"/>
  <c r="G19" i="10" s="1"/>
  <c r="J12" i="10" a="1"/>
  <c r="J12" i="10" s="1"/>
  <c r="G11" i="10" a="1"/>
  <c r="G11" i="10" s="1"/>
  <c r="J8" i="10" a="1"/>
  <c r="J8" i="10" s="1"/>
  <c r="G7" i="10" a="1"/>
  <c r="G7" i="10" s="1"/>
  <c r="J2" i="10" a="1"/>
  <c r="J2" i="10" s="1"/>
  <c r="J4" i="10" a="1"/>
  <c r="J4" i="10" s="1"/>
  <c r="E4" i="4"/>
  <c r="I40" i="9" l="1"/>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G8" i="9" a="1"/>
  <c r="G8" i="9" s="1"/>
  <c r="I7" i="9"/>
  <c r="N6" i="9" a="1"/>
  <c r="N45" i="9" s="1"/>
  <c r="I6" i="9"/>
  <c r="G43" i="9" s="1" a="1"/>
  <c r="G43" i="9" s="1"/>
  <c r="I5" i="9"/>
  <c r="I4" i="9"/>
  <c r="G4" i="9" a="1"/>
  <c r="G4" i="9" s="1"/>
  <c r="I3" i="9"/>
  <c r="I2" i="9"/>
  <c r="J3" i="9" s="1" a="1"/>
  <c r="J3" i="9" s="1"/>
  <c r="J1" i="9" a="1"/>
  <c r="J1" i="9" s="1"/>
  <c r="I1" i="9"/>
  <c r="J39" i="9" s="1" a="1"/>
  <c r="J39" i="9" s="1"/>
  <c r="N7" i="9" l="1"/>
  <c r="N12" i="9"/>
  <c r="N18" i="9"/>
  <c r="N23" i="9"/>
  <c r="N28" i="9"/>
  <c r="N34" i="9"/>
  <c r="N39" i="9"/>
  <c r="N44" i="9"/>
  <c r="N8" i="9"/>
  <c r="N14" i="9"/>
  <c r="N19" i="9"/>
  <c r="N24" i="9"/>
  <c r="N30" i="9"/>
  <c r="N35" i="9"/>
  <c r="N40" i="9"/>
  <c r="N10" i="9"/>
  <c r="N15" i="9"/>
  <c r="N20" i="9"/>
  <c r="N26" i="9"/>
  <c r="N31" i="9"/>
  <c r="N36" i="9"/>
  <c r="N42" i="9"/>
  <c r="N6" i="9"/>
  <c r="N11" i="9"/>
  <c r="N16" i="9"/>
  <c r="N22" i="9"/>
  <c r="N27" i="9"/>
  <c r="N32" i="9"/>
  <c r="N38" i="9"/>
  <c r="N43" i="9"/>
  <c r="J9" i="9" a="1"/>
  <c r="J9" i="9" s="1"/>
  <c r="G12" i="9" a="1"/>
  <c r="G12" i="9" s="1"/>
  <c r="J13" i="9" a="1"/>
  <c r="J13" i="9" s="1"/>
  <c r="G16" i="9" a="1"/>
  <c r="G16" i="9" s="1"/>
  <c r="J17" i="9" a="1"/>
  <c r="J17" i="9" s="1"/>
  <c r="G20" i="9" a="1"/>
  <c r="G20" i="9" s="1"/>
  <c r="J21" i="9" a="1"/>
  <c r="J21" i="9" s="1"/>
  <c r="G24" i="9" a="1"/>
  <c r="G24" i="9" s="1"/>
  <c r="J25" i="9" a="1"/>
  <c r="J25" i="9" s="1"/>
  <c r="G28" i="9" a="1"/>
  <c r="G28" i="9" s="1"/>
  <c r="J29" i="9" a="1"/>
  <c r="J29" i="9" s="1"/>
  <c r="G32" i="9" a="1"/>
  <c r="G32" i="9" s="1"/>
  <c r="J33" i="9" a="1"/>
  <c r="J33" i="9" s="1"/>
  <c r="G36" i="9" a="1"/>
  <c r="G36" i="9" s="1"/>
  <c r="J37" i="9" a="1"/>
  <c r="J37" i="9" s="1"/>
  <c r="G40" i="9" a="1"/>
  <c r="G40" i="9" s="1"/>
  <c r="J5" i="9" a="1"/>
  <c r="J5" i="9" s="1"/>
  <c r="G7" i="9" a="1"/>
  <c r="G7" i="9" s="1"/>
  <c r="J8" i="9" a="1"/>
  <c r="J8" i="9" s="1"/>
  <c r="J16" i="9" a="1"/>
  <c r="J16" i="9" s="1"/>
  <c r="G23" i="9" a="1"/>
  <c r="G23" i="9" s="1"/>
  <c r="J24" i="9" a="1"/>
  <c r="J24" i="9" s="1"/>
  <c r="J36" i="9" a="1"/>
  <c r="J36" i="9" s="1"/>
  <c r="J41" i="9" a="1"/>
  <c r="J41" i="9" s="1"/>
  <c r="G6" i="9" a="1"/>
  <c r="G6" i="9" s="1"/>
  <c r="G9" i="9" a="1"/>
  <c r="G9" i="9" s="1"/>
  <c r="J10" i="9" a="1"/>
  <c r="J10" i="9" s="1"/>
  <c r="G13" i="9" a="1"/>
  <c r="G13" i="9" s="1"/>
  <c r="J14" i="9" a="1"/>
  <c r="J14" i="9" s="1"/>
  <c r="G17" i="9" a="1"/>
  <c r="G17" i="9" s="1"/>
  <c r="J18" i="9" a="1"/>
  <c r="J18" i="9" s="1"/>
  <c r="G21" i="9" a="1"/>
  <c r="G21" i="9" s="1"/>
  <c r="J22" i="9" a="1"/>
  <c r="J22" i="9" s="1"/>
  <c r="G25" i="9" a="1"/>
  <c r="G25" i="9" s="1"/>
  <c r="J26" i="9" a="1"/>
  <c r="J26" i="9" s="1"/>
  <c r="G29" i="9" a="1"/>
  <c r="G29" i="9" s="1"/>
  <c r="J30" i="9" a="1"/>
  <c r="J30" i="9" s="1"/>
  <c r="G33" i="9" a="1"/>
  <c r="G33" i="9" s="1"/>
  <c r="J34" i="9" a="1"/>
  <c r="J34" i="9" s="1"/>
  <c r="G37" i="9" a="1"/>
  <c r="G37" i="9" s="1"/>
  <c r="J38" i="9" a="1"/>
  <c r="J38" i="9" s="1"/>
  <c r="G41" i="9" a="1"/>
  <c r="G41" i="9" s="1"/>
  <c r="G42" i="9" a="1"/>
  <c r="G42" i="9" s="1"/>
  <c r="G44" i="9" a="1"/>
  <c r="G44" i="9" s="1"/>
  <c r="G11" i="9" a="1"/>
  <c r="G11" i="9" s="1"/>
  <c r="J12" i="9" a="1"/>
  <c r="J12" i="9" s="1"/>
  <c r="G15" i="9" a="1"/>
  <c r="G15" i="9" s="1"/>
  <c r="G19" i="9" a="1"/>
  <c r="G19" i="9" s="1"/>
  <c r="J20" i="9" a="1"/>
  <c r="J20" i="9" s="1"/>
  <c r="G27" i="9" a="1"/>
  <c r="G27" i="9" s="1"/>
  <c r="J28" i="9" a="1"/>
  <c r="J28" i="9" s="1"/>
  <c r="G31" i="9" a="1"/>
  <c r="G31" i="9" s="1"/>
  <c r="J32" i="9" a="1"/>
  <c r="J32" i="9" s="1"/>
  <c r="G35" i="9" a="1"/>
  <c r="G35" i="9" s="1"/>
  <c r="G39" i="9" a="1"/>
  <c r="G39" i="9" s="1"/>
  <c r="J40" i="9" a="1"/>
  <c r="J40" i="9" s="1"/>
  <c r="G5" i="9" a="1"/>
  <c r="G5" i="9" s="1"/>
  <c r="J6" i="9" a="1"/>
  <c r="J6" i="9" s="1"/>
  <c r="J2" i="9" a="1"/>
  <c r="J2" i="9" s="1"/>
  <c r="J4" i="9" a="1"/>
  <c r="J4" i="9" s="1"/>
  <c r="N9" i="9"/>
  <c r="N13" i="9"/>
  <c r="N17" i="9"/>
  <c r="N21" i="9"/>
  <c r="N25" i="9"/>
  <c r="N29" i="9"/>
  <c r="N33" i="9"/>
  <c r="N37" i="9"/>
  <c r="N41" i="9"/>
  <c r="J7" i="9" a="1"/>
  <c r="J7" i="9" s="1"/>
  <c r="G10" i="9" a="1"/>
  <c r="G10" i="9" s="1"/>
  <c r="J11" i="9" a="1"/>
  <c r="J11" i="9" s="1"/>
  <c r="G14" i="9" a="1"/>
  <c r="G14" i="9" s="1"/>
  <c r="J15" i="9" a="1"/>
  <c r="J15" i="9" s="1"/>
  <c r="G18" i="9" a="1"/>
  <c r="G18" i="9" s="1"/>
  <c r="J19" i="9" a="1"/>
  <c r="J19" i="9" s="1"/>
  <c r="G22" i="9" a="1"/>
  <c r="G22" i="9" s="1"/>
  <c r="J23" i="9" a="1"/>
  <c r="J23" i="9" s="1"/>
  <c r="G26" i="9" a="1"/>
  <c r="G26" i="9" s="1"/>
  <c r="J27" i="9" a="1"/>
  <c r="J27" i="9" s="1"/>
  <c r="G30" i="9" a="1"/>
  <c r="G30" i="9" s="1"/>
  <c r="J31" i="9" a="1"/>
  <c r="J31" i="9" s="1"/>
  <c r="G34" i="9" a="1"/>
  <c r="G34" i="9" s="1"/>
  <c r="J35" i="9" a="1"/>
  <c r="J35" i="9" s="1"/>
  <c r="G38" i="9" a="1"/>
  <c r="G38" i="9" s="1"/>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N6" i="6" a="1"/>
  <c r="N6" i="6" s="1"/>
  <c r="I6" i="6"/>
  <c r="I5" i="6"/>
  <c r="I4" i="6"/>
  <c r="I3" i="6"/>
  <c r="J28" i="6" s="1" a="1"/>
  <c r="J28" i="6" s="1"/>
  <c r="I2" i="6"/>
  <c r="I1" i="6"/>
  <c r="J39" i="6" s="1" a="1"/>
  <c r="J39" i="6" s="1"/>
  <c r="G1" i="6"/>
  <c r="B1" i="6"/>
  <c r="H43" i="22"/>
  <c r="J39" i="22"/>
  <c r="H38" i="22"/>
  <c r="J25" i="22"/>
  <c r="N23" i="22"/>
  <c r="N42" i="22"/>
  <c r="R24" i="22"/>
  <c r="P29" i="22"/>
  <c r="R28" i="22"/>
  <c r="H14" i="22"/>
  <c r="H19" i="22"/>
  <c r="J4" i="22"/>
  <c r="H20" i="22"/>
  <c r="H30" i="22"/>
  <c r="J41" i="22"/>
  <c r="N18" i="22"/>
  <c r="N6" i="22"/>
  <c r="P17" i="22"/>
  <c r="P26" i="22"/>
  <c r="J9" i="22"/>
  <c r="R8" i="22"/>
  <c r="P20" i="22"/>
  <c r="N26" i="22"/>
  <c r="H27" i="22"/>
  <c r="R7" i="22"/>
  <c r="J29" i="22"/>
  <c r="J36" i="22"/>
  <c r="H13" i="22"/>
  <c r="R29" i="22"/>
  <c r="N36" i="22"/>
  <c r="H36" i="22"/>
  <c r="P5" i="22"/>
  <c r="P24" i="22"/>
  <c r="J37" i="22"/>
  <c r="P38" i="22"/>
  <c r="J30" i="22"/>
  <c r="P36" i="22"/>
  <c r="R42" i="22"/>
  <c r="R37" i="22"/>
  <c r="H33" i="22"/>
  <c r="J24" i="22"/>
  <c r="H21" i="22"/>
  <c r="H7" i="22"/>
  <c r="H10" i="22"/>
  <c r="N37" i="22"/>
  <c r="H15" i="22"/>
  <c r="R26" i="22"/>
  <c r="P25" i="22"/>
  <c r="P10" i="22"/>
  <c r="P31" i="22"/>
  <c r="J14" i="22"/>
  <c r="N25" i="22"/>
  <c r="P12" i="22"/>
  <c r="N32" i="22"/>
  <c r="R32" i="22"/>
  <c r="P18" i="22"/>
  <c r="H11" i="22"/>
  <c r="J42" i="22"/>
  <c r="H34" i="22"/>
  <c r="R16" i="22"/>
  <c r="N10" i="22"/>
  <c r="H29" i="22"/>
  <c r="N34" i="22"/>
  <c r="N14" i="22"/>
  <c r="J33" i="22"/>
  <c r="H40" i="22"/>
  <c r="N30" i="22"/>
  <c r="P33" i="22"/>
  <c r="H24" i="22"/>
  <c r="N5" i="22"/>
  <c r="J16" i="22"/>
  <c r="P7" i="22"/>
  <c r="J21" i="22"/>
  <c r="R10" i="22"/>
  <c r="R21" i="22"/>
  <c r="N11" i="22"/>
  <c r="N8" i="22"/>
  <c r="H42" i="22"/>
  <c r="P32" i="22"/>
  <c r="N43" i="22"/>
  <c r="J27" i="22"/>
  <c r="P14" i="22"/>
  <c r="J31" i="22"/>
  <c r="R20" i="22"/>
  <c r="P9" i="22"/>
  <c r="R9" i="22"/>
  <c r="N35" i="22"/>
  <c r="R38" i="22"/>
  <c r="J17" i="22"/>
  <c r="P4" i="22"/>
  <c r="R5" i="22"/>
  <c r="J43" i="22"/>
  <c r="H6" i="22"/>
  <c r="H9" i="22"/>
  <c r="J22" i="22"/>
  <c r="J11" i="22"/>
  <c r="R13" i="22"/>
  <c r="J40" i="22"/>
  <c r="H12" i="22"/>
  <c r="R4" i="22"/>
  <c r="R23" i="22"/>
  <c r="P40" i="22"/>
  <c r="J34" i="22"/>
  <c r="H16" i="22"/>
  <c r="R40" i="22"/>
  <c r="H41" i="22"/>
  <c r="R12" i="22"/>
  <c r="H39" i="22"/>
  <c r="P42" i="22"/>
  <c r="J28" i="22"/>
  <c r="H26" i="22"/>
  <c r="N41" i="22"/>
  <c r="H4" i="22"/>
  <c r="P39" i="22"/>
  <c r="N20" i="22"/>
  <c r="P15" i="22"/>
  <c r="J12" i="22"/>
  <c r="P22" i="22"/>
  <c r="J32" i="22"/>
  <c r="R43" i="22"/>
  <c r="J15" i="22"/>
  <c r="N29" i="22"/>
  <c r="P16" i="22"/>
  <c r="H5" i="22"/>
  <c r="H25" i="22"/>
  <c r="R39" i="22"/>
  <c r="P43" i="22"/>
  <c r="J38" i="22"/>
  <c r="N7" i="22"/>
  <c r="J23" i="22"/>
  <c r="N22" i="22"/>
  <c r="J13" i="22"/>
  <c r="N9" i="22"/>
  <c r="H31" i="22"/>
  <c r="J8" i="22"/>
  <c r="N33" i="22"/>
  <c r="G4" i="22"/>
  <c r="J10" i="22"/>
  <c r="J35" i="22"/>
  <c r="P27" i="22"/>
  <c r="N28" i="22"/>
  <c r="N4" i="22"/>
  <c r="R14" i="22"/>
  <c r="P13" i="22"/>
  <c r="H37" i="22"/>
  <c r="H18" i="22"/>
  <c r="H8" i="22"/>
  <c r="F4" i="22"/>
  <c r="N21" i="22"/>
  <c r="N13" i="22"/>
  <c r="R34" i="22"/>
  <c r="J26" i="22"/>
  <c r="N40" i="22"/>
  <c r="P19" i="22"/>
  <c r="N12" i="22"/>
  <c r="R30" i="22"/>
  <c r="N31" i="22"/>
  <c r="H23" i="22"/>
  <c r="J7" i="22"/>
  <c r="P23" i="22"/>
  <c r="J18" i="22"/>
  <c r="N16" i="22"/>
  <c r="R19" i="22"/>
  <c r="R6" i="22"/>
  <c r="N27" i="22"/>
  <c r="J19" i="22"/>
  <c r="R25" i="22"/>
  <c r="N17" i="22"/>
  <c r="J20" i="22"/>
  <c r="R41" i="22"/>
  <c r="H35" i="22"/>
  <c r="P28" i="22"/>
  <c r="N24" i="22"/>
  <c r="R11" i="22"/>
  <c r="P41" i="22"/>
  <c r="R35" i="22"/>
  <c r="P34" i="22"/>
  <c r="J5" i="22"/>
  <c r="R18" i="22"/>
  <c r="R17" i="22"/>
  <c r="R31" i="22"/>
  <c r="R22" i="22"/>
  <c r="P8" i="22"/>
  <c r="P21" i="22"/>
  <c r="P6" i="22"/>
  <c r="J6" i="22"/>
  <c r="N38" i="22"/>
  <c r="P11" i="22"/>
  <c r="P30" i="22"/>
  <c r="R33" i="22"/>
  <c r="H28" i="22"/>
  <c r="R15" i="22"/>
  <c r="P37" i="22"/>
  <c r="N39" i="22"/>
  <c r="H32" i="22"/>
  <c r="H22" i="22"/>
  <c r="P35" i="22"/>
  <c r="N19" i="22"/>
  <c r="N15" i="22"/>
  <c r="R36" i="22"/>
  <c r="H17" i="22"/>
  <c r="R27" i="22"/>
  <c r="G23" i="6" l="1" a="1"/>
  <c r="G23" i="6" s="1"/>
  <c r="J24" i="6" a="1"/>
  <c r="J24" i="6" s="1"/>
  <c r="G35" i="6" a="1"/>
  <c r="G35" i="6" s="1"/>
  <c r="J36" i="6" a="1"/>
  <c r="J36" i="6" s="1"/>
  <c r="G39" i="6" a="1"/>
  <c r="G39" i="6" s="1"/>
  <c r="J40" i="6" a="1"/>
  <c r="J40" i="6" s="1"/>
  <c r="J41" i="6" a="1"/>
  <c r="J41" i="6" s="1"/>
  <c r="G43" i="6" a="1"/>
  <c r="G43" i="6" s="1"/>
  <c r="J3" i="6" a="1"/>
  <c r="J3" i="6" s="1"/>
  <c r="G6" i="6" a="1"/>
  <c r="G6" i="6" s="1"/>
  <c r="G8" i="6" a="1"/>
  <c r="G8" i="6" s="1"/>
  <c r="J9" i="6" a="1"/>
  <c r="J9" i="6" s="1"/>
  <c r="G12" i="6" a="1"/>
  <c r="G12" i="6" s="1"/>
  <c r="J13" i="6" a="1"/>
  <c r="J13" i="6" s="1"/>
  <c r="G16" i="6" a="1"/>
  <c r="G16" i="6" s="1"/>
  <c r="J17" i="6" a="1"/>
  <c r="J17" i="6" s="1"/>
  <c r="G20" i="6" a="1"/>
  <c r="G20" i="6" s="1"/>
  <c r="J21" i="6" a="1"/>
  <c r="J21" i="6" s="1"/>
  <c r="G24" i="6" a="1"/>
  <c r="G24" i="6" s="1"/>
  <c r="J25" i="6" a="1"/>
  <c r="J25" i="6" s="1"/>
  <c r="G28" i="6" a="1"/>
  <c r="G28" i="6" s="1"/>
  <c r="J29" i="6" a="1"/>
  <c r="J29" i="6" s="1"/>
  <c r="G32" i="6" a="1"/>
  <c r="G32" i="6" s="1"/>
  <c r="J33" i="6" a="1"/>
  <c r="J33" i="6" s="1"/>
  <c r="G36" i="6" a="1"/>
  <c r="G36" i="6" s="1"/>
  <c r="J37" i="6" a="1"/>
  <c r="J37" i="6" s="1"/>
  <c r="G40" i="6" a="1"/>
  <c r="G40" i="6" s="1"/>
  <c r="G5" i="6" a="1"/>
  <c r="G5" i="6" s="1"/>
  <c r="J6" i="6" a="1"/>
  <c r="J6" i="6" s="1"/>
  <c r="G7" i="6" a="1"/>
  <c r="G7" i="6" s="1"/>
  <c r="J8" i="6" a="1"/>
  <c r="J8" i="6" s="1"/>
  <c r="G19" i="6" a="1"/>
  <c r="G19" i="6" s="1"/>
  <c r="J20" i="6" a="1"/>
  <c r="J20" i="6" s="1"/>
  <c r="G31" i="6" a="1"/>
  <c r="G31" i="6" s="1"/>
  <c r="J32" i="6" a="1"/>
  <c r="J32" i="6" s="1"/>
  <c r="J4" i="6" a="1"/>
  <c r="J4" i="6" s="1"/>
  <c r="G9" i="6" a="1"/>
  <c r="G9" i="6" s="1"/>
  <c r="J10" i="6" a="1"/>
  <c r="J10" i="6" s="1"/>
  <c r="G13" i="6" a="1"/>
  <c r="G13" i="6" s="1"/>
  <c r="J14" i="6" a="1"/>
  <c r="J14" i="6" s="1"/>
  <c r="G17" i="6" a="1"/>
  <c r="G17" i="6" s="1"/>
  <c r="J18" i="6" a="1"/>
  <c r="J18" i="6" s="1"/>
  <c r="G21" i="6" a="1"/>
  <c r="G21" i="6" s="1"/>
  <c r="J22" i="6" a="1"/>
  <c r="J22" i="6" s="1"/>
  <c r="G25" i="6" a="1"/>
  <c r="G25" i="6" s="1"/>
  <c r="J26" i="6" a="1"/>
  <c r="J26" i="6" s="1"/>
  <c r="G29" i="6" a="1"/>
  <c r="G29" i="6" s="1"/>
  <c r="J30" i="6" a="1"/>
  <c r="J30" i="6" s="1"/>
  <c r="G33" i="6" a="1"/>
  <c r="G33" i="6" s="1"/>
  <c r="J34" i="6" a="1"/>
  <c r="J34" i="6" s="1"/>
  <c r="G37" i="6" a="1"/>
  <c r="G37" i="6" s="1"/>
  <c r="J38" i="6" a="1"/>
  <c r="J38" i="6" s="1"/>
  <c r="G41" i="6" a="1"/>
  <c r="G41" i="6" s="1"/>
  <c r="G42" i="6" a="1"/>
  <c r="G42" i="6" s="1"/>
  <c r="G44" i="6" a="1"/>
  <c r="G44" i="6" s="1"/>
  <c r="G11" i="6" a="1"/>
  <c r="G11" i="6" s="1"/>
  <c r="J12" i="6" a="1"/>
  <c r="J12" i="6" s="1"/>
  <c r="G15" i="6" a="1"/>
  <c r="G15" i="6" s="1"/>
  <c r="J16" i="6" a="1"/>
  <c r="J16" i="6" s="1"/>
  <c r="G27" i="6" a="1"/>
  <c r="G27" i="6" s="1"/>
  <c r="J2" i="6" a="1"/>
  <c r="J2" i="6" s="1"/>
  <c r="J1" i="6" a="1"/>
  <c r="J1" i="6" s="1"/>
  <c r="G4" i="6" a="1"/>
  <c r="G4" i="6" s="1"/>
  <c r="J5" i="6" a="1"/>
  <c r="J5" i="6" s="1"/>
  <c r="J7" i="6" a="1"/>
  <c r="J7" i="6" s="1"/>
  <c r="G10" i="6" a="1"/>
  <c r="G10" i="6" s="1"/>
  <c r="J11" i="6" a="1"/>
  <c r="J11" i="6" s="1"/>
  <c r="G14" i="6" a="1"/>
  <c r="G14" i="6" s="1"/>
  <c r="J15" i="6" a="1"/>
  <c r="J15" i="6" s="1"/>
  <c r="G18" i="6" a="1"/>
  <c r="G18" i="6" s="1"/>
  <c r="J19" i="6" a="1"/>
  <c r="J19" i="6" s="1"/>
  <c r="G22" i="6" a="1"/>
  <c r="G22" i="6" s="1"/>
  <c r="J23" i="6" a="1"/>
  <c r="J23" i="6" s="1"/>
  <c r="G26" i="6" a="1"/>
  <c r="G26" i="6" s="1"/>
  <c r="J27" i="6" a="1"/>
  <c r="J27" i="6" s="1"/>
  <c r="G30" i="6" a="1"/>
  <c r="G30" i="6" s="1"/>
  <c r="J31" i="6" a="1"/>
  <c r="J31" i="6" s="1"/>
  <c r="G34" i="6" a="1"/>
  <c r="G34" i="6" s="1"/>
  <c r="J35" i="6" a="1"/>
  <c r="J35" i="6" s="1"/>
  <c r="G38" i="6" a="1"/>
  <c r="G38" i="6" s="1"/>
  <c r="B1" i="21" l="1"/>
  <c r="N6" i="20" a="1"/>
  <c r="N6" i="20" s="1"/>
  <c r="I40" i="19"/>
  <c r="I39" i="19"/>
  <c r="I38" i="19"/>
  <c r="I37" i="19"/>
  <c r="I36" i="19"/>
  <c r="I35" i="19"/>
  <c r="I34" i="19"/>
  <c r="I33" i="19"/>
  <c r="I32" i="19"/>
  <c r="I31" i="19"/>
  <c r="I30" i="19"/>
  <c r="I29" i="19"/>
  <c r="I28" i="19"/>
  <c r="I27" i="19"/>
  <c r="I26" i="19"/>
  <c r="I25" i="19"/>
  <c r="I24" i="19"/>
  <c r="I23" i="19"/>
  <c r="I22" i="19"/>
  <c r="I21" i="19"/>
  <c r="I20" i="19"/>
  <c r="I19" i="19"/>
  <c r="I18" i="19"/>
  <c r="I17" i="19"/>
  <c r="I16" i="19"/>
  <c r="I15" i="19"/>
  <c r="I14" i="19"/>
  <c r="I13" i="19"/>
  <c r="I12" i="19"/>
  <c r="I11" i="19"/>
  <c r="I10" i="19"/>
  <c r="I9" i="19"/>
  <c r="I8" i="19"/>
  <c r="I7" i="19"/>
  <c r="N6" i="19" a="1"/>
  <c r="N6" i="19" s="1"/>
  <c r="I6" i="19"/>
  <c r="I5" i="19"/>
  <c r="I4" i="19"/>
  <c r="I3" i="19"/>
  <c r="I2" i="19"/>
  <c r="I1" i="19"/>
  <c r="I40" i="17"/>
  <c r="I39" i="17"/>
  <c r="I38" i="17"/>
  <c r="I37" i="17"/>
  <c r="I36" i="17"/>
  <c r="I35" i="17"/>
  <c r="I34" i="17"/>
  <c r="I33" i="17"/>
  <c r="I32" i="17"/>
  <c r="I31" i="17"/>
  <c r="I30" i="17"/>
  <c r="I29" i="17"/>
  <c r="I28" i="17"/>
  <c r="I27" i="17"/>
  <c r="I26" i="17"/>
  <c r="I25" i="17"/>
  <c r="I24" i="17"/>
  <c r="I23" i="17"/>
  <c r="I22" i="17"/>
  <c r="I21" i="17"/>
  <c r="I20" i="17"/>
  <c r="I19" i="17"/>
  <c r="I18" i="17"/>
  <c r="I17" i="17"/>
  <c r="I16" i="17"/>
  <c r="I15" i="17"/>
  <c r="I14" i="17"/>
  <c r="I13" i="17"/>
  <c r="I12" i="17"/>
  <c r="I11" i="17"/>
  <c r="I10" i="17"/>
  <c r="I9" i="17"/>
  <c r="I8" i="17"/>
  <c r="I7" i="17"/>
  <c r="N6" i="17" a="1"/>
  <c r="N6" i="17" s="1"/>
  <c r="I6" i="17"/>
  <c r="I5" i="17"/>
  <c r="I4" i="17"/>
  <c r="I3" i="17"/>
  <c r="I2" i="17"/>
  <c r="I1" i="17"/>
  <c r="N6" i="16" a="1"/>
  <c r="N6" i="16" s="1"/>
  <c r="N6" i="14" a="1"/>
  <c r="N6" i="14" s="1"/>
  <c r="N6" i="13" a="1"/>
  <c r="N6" i="13" s="1"/>
  <c r="I40" i="12"/>
  <c r="I39" i="12"/>
  <c r="I38" i="12"/>
  <c r="I37" i="12"/>
  <c r="I36" i="12"/>
  <c r="I35" i="12"/>
  <c r="I34" i="12"/>
  <c r="I33" i="12"/>
  <c r="I32" i="12"/>
  <c r="I31" i="12"/>
  <c r="I30" i="12"/>
  <c r="I29" i="12"/>
  <c r="I28" i="12"/>
  <c r="I27" i="12"/>
  <c r="I26" i="12"/>
  <c r="I25" i="12"/>
  <c r="I24" i="12"/>
  <c r="I23" i="12"/>
  <c r="I22" i="12"/>
  <c r="I21" i="12"/>
  <c r="I20" i="12"/>
  <c r="I19" i="12"/>
  <c r="I18" i="12"/>
  <c r="I17" i="12"/>
  <c r="I16" i="12"/>
  <c r="I15" i="12"/>
  <c r="I14" i="12"/>
  <c r="I13" i="12"/>
  <c r="I12" i="12"/>
  <c r="I11" i="12"/>
  <c r="I10" i="12"/>
  <c r="I9" i="12"/>
  <c r="I8" i="12"/>
  <c r="I7" i="12"/>
  <c r="N6" i="12" a="1"/>
  <c r="N6" i="12" s="1"/>
  <c r="I6" i="12"/>
  <c r="I5" i="12"/>
  <c r="I4" i="12"/>
  <c r="I3" i="12"/>
  <c r="I2" i="12"/>
  <c r="I1" i="12"/>
  <c r="N6" i="11" a="1"/>
  <c r="N6" i="11" s="1"/>
  <c r="N6" i="10" a="1"/>
  <c r="N6" i="10" s="1"/>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I10" i="7"/>
  <c r="I9" i="7"/>
  <c r="I8" i="7"/>
  <c r="I7" i="7"/>
  <c r="N6" i="7" a="1"/>
  <c r="N6" i="7" s="1"/>
  <c r="I6" i="7"/>
  <c r="I5" i="7"/>
  <c r="I4" i="7"/>
  <c r="I3" i="7"/>
  <c r="I2" i="7"/>
  <c r="I1" i="7"/>
  <c r="N6" i="8" a="1"/>
  <c r="N6" i="8" s="1"/>
  <c r="N6" i="15" a="1"/>
  <c r="N6" i="15" s="1"/>
  <c r="J39" i="12" l="1" a="1"/>
  <c r="J39" i="12" s="1"/>
  <c r="G31" i="12" a="1"/>
  <c r="G31" i="12" s="1"/>
  <c r="J39" i="7" a="1"/>
  <c r="J39" i="7" s="1"/>
  <c r="J32" i="7" a="1"/>
  <c r="J32" i="7" s="1"/>
  <c r="J39" i="19" a="1"/>
  <c r="J39" i="19" s="1"/>
  <c r="J36" i="19" a="1"/>
  <c r="J36" i="19" s="1"/>
  <c r="G44" i="17" a="1"/>
  <c r="G44" i="17" s="1"/>
  <c r="G42" i="17" a="1"/>
  <c r="G42" i="17" s="1"/>
  <c r="G40" i="17" a="1"/>
  <c r="G40" i="17" s="1"/>
  <c r="G38" i="17" a="1"/>
  <c r="G38" i="17" s="1"/>
  <c r="G36" i="17" a="1"/>
  <c r="G36" i="17" s="1"/>
  <c r="G34" i="17" a="1"/>
  <c r="G34" i="17" s="1"/>
  <c r="G32" i="17" a="1"/>
  <c r="G32" i="17" s="1"/>
  <c r="G30" i="17" a="1"/>
  <c r="G30" i="17" s="1"/>
  <c r="G28" i="17" a="1"/>
  <c r="G28" i="17" s="1"/>
  <c r="G26" i="17" a="1"/>
  <c r="G26" i="17" s="1"/>
  <c r="G24" i="17" a="1"/>
  <c r="G24" i="17" s="1"/>
  <c r="G22" i="17" a="1"/>
  <c r="G22" i="17" s="1"/>
  <c r="G20" i="17" a="1"/>
  <c r="G20" i="17" s="1"/>
  <c r="G18" i="17" a="1"/>
  <c r="G18" i="17" s="1"/>
  <c r="G16" i="17" a="1"/>
  <c r="G16" i="17" s="1"/>
  <c r="G14" i="17" a="1"/>
  <c r="G14" i="17" s="1"/>
  <c r="G12" i="17" a="1"/>
  <c r="G12" i="17" s="1"/>
  <c r="G10" i="17" a="1"/>
  <c r="G10" i="17" s="1"/>
  <c r="G8" i="17" a="1"/>
  <c r="G8" i="17" s="1"/>
  <c r="G6" i="17" a="1"/>
  <c r="G6" i="17" s="1"/>
  <c r="G4" i="17" a="1"/>
  <c r="G4" i="17" s="1"/>
  <c r="G13" i="17" a="1"/>
  <c r="G13" i="17" s="1"/>
  <c r="G9" i="17" a="1"/>
  <c r="G9" i="17" s="1"/>
  <c r="G5" i="17" a="1"/>
  <c r="G5" i="17" s="1"/>
  <c r="G43" i="17" a="1"/>
  <c r="G43" i="17" s="1"/>
  <c r="G41" i="17" a="1"/>
  <c r="G41" i="17" s="1"/>
  <c r="G39" i="17" a="1"/>
  <c r="G39" i="17" s="1"/>
  <c r="G37" i="17" a="1"/>
  <c r="G37" i="17" s="1"/>
  <c r="G35" i="17" a="1"/>
  <c r="G35" i="17" s="1"/>
  <c r="G33" i="17" a="1"/>
  <c r="G33" i="17" s="1"/>
  <c r="G31" i="17" a="1"/>
  <c r="G31" i="17" s="1"/>
  <c r="G29" i="17" a="1"/>
  <c r="G29" i="17" s="1"/>
  <c r="G27" i="17" a="1"/>
  <c r="G27" i="17" s="1"/>
  <c r="G25" i="17" a="1"/>
  <c r="G25" i="17" s="1"/>
  <c r="G23" i="17" a="1"/>
  <c r="G23" i="17" s="1"/>
  <c r="G21" i="17" a="1"/>
  <c r="G21" i="17" s="1"/>
  <c r="G19" i="17" a="1"/>
  <c r="G19" i="17" s="1"/>
  <c r="G17" i="17" a="1"/>
  <c r="G17" i="17" s="1"/>
  <c r="G15" i="17" a="1"/>
  <c r="G15" i="17" s="1"/>
  <c r="G11" i="17" a="1"/>
  <c r="G11" i="17" s="1"/>
  <c r="G7" i="17" a="1"/>
  <c r="G7" i="17" s="1"/>
  <c r="J6" i="19" a="1"/>
  <c r="J6" i="19" s="1"/>
  <c r="J8" i="19" a="1"/>
  <c r="J8" i="19" s="1"/>
  <c r="G11" i="19" a="1"/>
  <c r="G11" i="19" s="1"/>
  <c r="G15" i="19" a="1"/>
  <c r="G15" i="19" s="1"/>
  <c r="J16" i="19" a="1"/>
  <c r="J16" i="19" s="1"/>
  <c r="J20" i="19" a="1"/>
  <c r="J20" i="19" s="1"/>
  <c r="G23" i="19" a="1"/>
  <c r="G23" i="19" s="1"/>
  <c r="J24" i="19" a="1"/>
  <c r="J24" i="19" s="1"/>
  <c r="G27" i="19" a="1"/>
  <c r="G27" i="19" s="1"/>
  <c r="J32" i="19" a="1"/>
  <c r="J32" i="19" s="1"/>
  <c r="G35" i="19" a="1"/>
  <c r="G35" i="19" s="1"/>
  <c r="G39" i="19" a="1"/>
  <c r="G39" i="19" s="1"/>
  <c r="J40" i="19" a="1"/>
  <c r="J40" i="19" s="1"/>
  <c r="J41" i="19" a="1"/>
  <c r="J41" i="19" s="1"/>
  <c r="G43" i="19" a="1"/>
  <c r="G43" i="19" s="1"/>
  <c r="J3" i="19" a="1"/>
  <c r="J3" i="19" s="1"/>
  <c r="G6" i="19" a="1"/>
  <c r="G6" i="19" s="1"/>
  <c r="G8" i="19" a="1"/>
  <c r="G8" i="19" s="1"/>
  <c r="J9" i="19" a="1"/>
  <c r="J9" i="19" s="1"/>
  <c r="G12" i="19" a="1"/>
  <c r="G12" i="19" s="1"/>
  <c r="J13" i="19" a="1"/>
  <c r="J13" i="19" s="1"/>
  <c r="G16" i="19" a="1"/>
  <c r="G16" i="19" s="1"/>
  <c r="J17" i="19" a="1"/>
  <c r="J17" i="19" s="1"/>
  <c r="G20" i="19" a="1"/>
  <c r="G20" i="19" s="1"/>
  <c r="J21" i="19" a="1"/>
  <c r="J21" i="19" s="1"/>
  <c r="G24" i="19" a="1"/>
  <c r="G24" i="19" s="1"/>
  <c r="J25" i="19" a="1"/>
  <c r="J25" i="19" s="1"/>
  <c r="G28" i="19" a="1"/>
  <c r="G28" i="19" s="1"/>
  <c r="J29" i="19" a="1"/>
  <c r="J29" i="19" s="1"/>
  <c r="G32" i="19" a="1"/>
  <c r="G32" i="19" s="1"/>
  <c r="J33" i="19" a="1"/>
  <c r="J33" i="19" s="1"/>
  <c r="G36" i="19" a="1"/>
  <c r="G36" i="19" s="1"/>
  <c r="J37" i="19" a="1"/>
  <c r="J37" i="19" s="1"/>
  <c r="G40" i="19" a="1"/>
  <c r="G40" i="19" s="1"/>
  <c r="J12" i="19" a="1"/>
  <c r="J12" i="19" s="1"/>
  <c r="G19" i="19" a="1"/>
  <c r="G19" i="19" s="1"/>
  <c r="J2" i="19" a="1"/>
  <c r="J2" i="19" s="1"/>
  <c r="J4" i="19" a="1"/>
  <c r="J4" i="19" s="1"/>
  <c r="G9" i="19" a="1"/>
  <c r="G9" i="19" s="1"/>
  <c r="J10" i="19" a="1"/>
  <c r="J10" i="19" s="1"/>
  <c r="G13" i="19" a="1"/>
  <c r="G13" i="19" s="1"/>
  <c r="J14" i="19" a="1"/>
  <c r="J14" i="19" s="1"/>
  <c r="G17" i="19" a="1"/>
  <c r="G17" i="19" s="1"/>
  <c r="J18" i="19" a="1"/>
  <c r="J18" i="19" s="1"/>
  <c r="G21" i="19" a="1"/>
  <c r="G21" i="19" s="1"/>
  <c r="J22" i="19" a="1"/>
  <c r="J22" i="19" s="1"/>
  <c r="G25" i="19" a="1"/>
  <c r="G25" i="19" s="1"/>
  <c r="J26" i="19" a="1"/>
  <c r="J26" i="19" s="1"/>
  <c r="G29" i="19" a="1"/>
  <c r="G29" i="19" s="1"/>
  <c r="J30" i="19" a="1"/>
  <c r="J30" i="19" s="1"/>
  <c r="G33" i="19" a="1"/>
  <c r="G33" i="19" s="1"/>
  <c r="J34" i="19" a="1"/>
  <c r="J34" i="19" s="1"/>
  <c r="G37" i="19" a="1"/>
  <c r="G37" i="19" s="1"/>
  <c r="J38" i="19" a="1"/>
  <c r="J38" i="19" s="1"/>
  <c r="G41" i="19" a="1"/>
  <c r="G41" i="19" s="1"/>
  <c r="G42" i="19" a="1"/>
  <c r="G42" i="19" s="1"/>
  <c r="G44" i="19" a="1"/>
  <c r="G44" i="19" s="1"/>
  <c r="G5" i="19" a="1"/>
  <c r="G5" i="19" s="1"/>
  <c r="G7" i="19" a="1"/>
  <c r="G7" i="19" s="1"/>
  <c r="J28" i="19" a="1"/>
  <c r="J28" i="19" s="1"/>
  <c r="G31" i="19" a="1"/>
  <c r="G31" i="19" s="1"/>
  <c r="J1" i="19" a="1"/>
  <c r="J1" i="19" s="1"/>
  <c r="G4" i="19" a="1"/>
  <c r="G4" i="19" s="1"/>
  <c r="J5" i="19" a="1"/>
  <c r="J5" i="19" s="1"/>
  <c r="J7" i="19" a="1"/>
  <c r="J7" i="19" s="1"/>
  <c r="G10" i="19" a="1"/>
  <c r="G10" i="19" s="1"/>
  <c r="J11" i="19" a="1"/>
  <c r="J11" i="19" s="1"/>
  <c r="G14" i="19" a="1"/>
  <c r="G14" i="19" s="1"/>
  <c r="J15" i="19" a="1"/>
  <c r="J15" i="19" s="1"/>
  <c r="G18" i="19" a="1"/>
  <c r="G18" i="19" s="1"/>
  <c r="J19" i="19" a="1"/>
  <c r="J19" i="19" s="1"/>
  <c r="G22" i="19" a="1"/>
  <c r="G22" i="19" s="1"/>
  <c r="J23" i="19" a="1"/>
  <c r="J23" i="19" s="1"/>
  <c r="G26" i="19" a="1"/>
  <c r="G26" i="19" s="1"/>
  <c r="J27" i="19" a="1"/>
  <c r="J27" i="19" s="1"/>
  <c r="G30" i="19" a="1"/>
  <c r="G30" i="19" s="1"/>
  <c r="J31" i="19" a="1"/>
  <c r="J31" i="19" s="1"/>
  <c r="G34" i="19" a="1"/>
  <c r="G34" i="19" s="1"/>
  <c r="J35" i="19" a="1"/>
  <c r="J35" i="19" s="1"/>
  <c r="G38" i="19" a="1"/>
  <c r="G38" i="19" s="1"/>
  <c r="J41" i="17" a="1"/>
  <c r="J41" i="17" s="1"/>
  <c r="J32" i="17" a="1"/>
  <c r="J32" i="17" s="1"/>
  <c r="J28" i="17" a="1"/>
  <c r="J28" i="17" s="1"/>
  <c r="J24" i="17" a="1"/>
  <c r="J24" i="17" s="1"/>
  <c r="J16" i="17" a="1"/>
  <c r="J16" i="17" s="1"/>
  <c r="J40" i="17" a="1"/>
  <c r="J40" i="17" s="1"/>
  <c r="J36" i="17" a="1"/>
  <c r="J36" i="17" s="1"/>
  <c r="J20" i="17" a="1"/>
  <c r="J20" i="17" s="1"/>
  <c r="J12" i="17" a="1"/>
  <c r="J12" i="17" s="1"/>
  <c r="J8" i="17" a="1"/>
  <c r="J8" i="17" s="1"/>
  <c r="J6" i="17" a="1"/>
  <c r="J6" i="17" s="1"/>
  <c r="J39" i="17" a="1"/>
  <c r="J39" i="17" s="1"/>
  <c r="J3" i="17" a="1"/>
  <c r="J3" i="17" s="1"/>
  <c r="J17" i="17" a="1"/>
  <c r="J17" i="17" s="1"/>
  <c r="J25" i="17" a="1"/>
  <c r="J25" i="17" s="1"/>
  <c r="J33" i="17" a="1"/>
  <c r="J33" i="17" s="1"/>
  <c r="J37" i="17" a="1"/>
  <c r="J37" i="17" s="1"/>
  <c r="J2" i="17" a="1"/>
  <c r="J2" i="17" s="1"/>
  <c r="J4" i="17" a="1"/>
  <c r="J4" i="17" s="1"/>
  <c r="J10" i="17" a="1"/>
  <c r="J10" i="17" s="1"/>
  <c r="J14" i="17" a="1"/>
  <c r="J14" i="17" s="1"/>
  <c r="J18" i="17" a="1"/>
  <c r="J18" i="17" s="1"/>
  <c r="J22" i="17" a="1"/>
  <c r="J22" i="17" s="1"/>
  <c r="J26" i="17" a="1"/>
  <c r="J26" i="17" s="1"/>
  <c r="J30" i="17" a="1"/>
  <c r="J30" i="17" s="1"/>
  <c r="J34" i="17" a="1"/>
  <c r="J34" i="17" s="1"/>
  <c r="J38" i="17" a="1"/>
  <c r="J38" i="17" s="1"/>
  <c r="J9" i="17" a="1"/>
  <c r="J9" i="17" s="1"/>
  <c r="J13" i="17" a="1"/>
  <c r="J13" i="17" s="1"/>
  <c r="J21" i="17" a="1"/>
  <c r="J21" i="17" s="1"/>
  <c r="J29" i="17" a="1"/>
  <c r="J29" i="17" s="1"/>
  <c r="J1" i="17" a="1"/>
  <c r="J1" i="17" s="1"/>
  <c r="J5" i="17" a="1"/>
  <c r="J5" i="17" s="1"/>
  <c r="J7" i="17" a="1"/>
  <c r="J7" i="17" s="1"/>
  <c r="J11" i="17" a="1"/>
  <c r="J11" i="17" s="1"/>
  <c r="J15" i="17" a="1"/>
  <c r="J15" i="17" s="1"/>
  <c r="J19" i="17" a="1"/>
  <c r="J19" i="17" s="1"/>
  <c r="J23" i="17" a="1"/>
  <c r="J23" i="17" s="1"/>
  <c r="J27" i="17" a="1"/>
  <c r="J27" i="17" s="1"/>
  <c r="J31" i="17" a="1"/>
  <c r="J31" i="17" s="1"/>
  <c r="J35" i="17" a="1"/>
  <c r="J35" i="17" s="1"/>
  <c r="G5" i="12" a="1"/>
  <c r="G5" i="12" s="1"/>
  <c r="G7" i="12" a="1"/>
  <c r="G7" i="12" s="1"/>
  <c r="J32" i="12" a="1"/>
  <c r="J32" i="12" s="1"/>
  <c r="G35" i="12" a="1"/>
  <c r="G35" i="12" s="1"/>
  <c r="J36" i="12" a="1"/>
  <c r="J36" i="12" s="1"/>
  <c r="G39" i="12" a="1"/>
  <c r="G39" i="12" s="1"/>
  <c r="J40" i="12" a="1"/>
  <c r="J40" i="12" s="1"/>
  <c r="J41" i="12" a="1"/>
  <c r="J41" i="12" s="1"/>
  <c r="G43" i="12" a="1"/>
  <c r="G43" i="12" s="1"/>
  <c r="J3" i="12" a="1"/>
  <c r="J3" i="12" s="1"/>
  <c r="G6" i="12" a="1"/>
  <c r="G6" i="12" s="1"/>
  <c r="G8" i="12" a="1"/>
  <c r="G8" i="12" s="1"/>
  <c r="J9" i="12" a="1"/>
  <c r="J9" i="12" s="1"/>
  <c r="G12" i="12" a="1"/>
  <c r="G12" i="12" s="1"/>
  <c r="J13" i="12" a="1"/>
  <c r="J13" i="12" s="1"/>
  <c r="G16" i="12" a="1"/>
  <c r="G16" i="12" s="1"/>
  <c r="J17" i="12" a="1"/>
  <c r="J17" i="12" s="1"/>
  <c r="G20" i="12" a="1"/>
  <c r="G20" i="12" s="1"/>
  <c r="J21" i="12" a="1"/>
  <c r="J21" i="12" s="1"/>
  <c r="G24" i="12" a="1"/>
  <c r="G24" i="12" s="1"/>
  <c r="J25" i="12" a="1"/>
  <c r="J25" i="12" s="1"/>
  <c r="G28" i="12" a="1"/>
  <c r="G28" i="12" s="1"/>
  <c r="J29" i="12" a="1"/>
  <c r="J29" i="12" s="1"/>
  <c r="G32" i="12" a="1"/>
  <c r="G32" i="12" s="1"/>
  <c r="J33" i="12" a="1"/>
  <c r="J33" i="12" s="1"/>
  <c r="G36" i="12" a="1"/>
  <c r="G36" i="12" s="1"/>
  <c r="J37" i="12" a="1"/>
  <c r="J37" i="12" s="1"/>
  <c r="G40" i="12" a="1"/>
  <c r="G40" i="12" s="1"/>
  <c r="J12" i="12" a="1"/>
  <c r="J12" i="12" s="1"/>
  <c r="J16" i="12" a="1"/>
  <c r="J16" i="12" s="1"/>
  <c r="J2" i="12" a="1"/>
  <c r="J2" i="12" s="1"/>
  <c r="J4" i="12" a="1"/>
  <c r="J4" i="12" s="1"/>
  <c r="G9" i="12" a="1"/>
  <c r="G9" i="12" s="1"/>
  <c r="J10" i="12" a="1"/>
  <c r="J10" i="12" s="1"/>
  <c r="G13" i="12" a="1"/>
  <c r="G13" i="12" s="1"/>
  <c r="J14" i="12" a="1"/>
  <c r="J14" i="12" s="1"/>
  <c r="G17" i="12" a="1"/>
  <c r="G17" i="12" s="1"/>
  <c r="J18" i="12" a="1"/>
  <c r="J18" i="12" s="1"/>
  <c r="G21" i="12" a="1"/>
  <c r="G21" i="12" s="1"/>
  <c r="J22" i="12" a="1"/>
  <c r="J22" i="12" s="1"/>
  <c r="G25" i="12" a="1"/>
  <c r="G25" i="12" s="1"/>
  <c r="J26" i="12" a="1"/>
  <c r="J26" i="12" s="1"/>
  <c r="G29" i="12" a="1"/>
  <c r="G29" i="12" s="1"/>
  <c r="J30" i="12" a="1"/>
  <c r="J30" i="12" s="1"/>
  <c r="G33" i="12" a="1"/>
  <c r="G33" i="12" s="1"/>
  <c r="J34" i="12" a="1"/>
  <c r="J34" i="12" s="1"/>
  <c r="G37" i="12" a="1"/>
  <c r="G37" i="12" s="1"/>
  <c r="J38" i="12" a="1"/>
  <c r="J38" i="12" s="1"/>
  <c r="G41" i="12" a="1"/>
  <c r="G41" i="12" s="1"/>
  <c r="G42" i="12" a="1"/>
  <c r="G42" i="12" s="1"/>
  <c r="G44" i="12" a="1"/>
  <c r="G44" i="12" s="1"/>
  <c r="J6" i="12" a="1"/>
  <c r="J6" i="12" s="1"/>
  <c r="J8" i="12" a="1"/>
  <c r="J8" i="12" s="1"/>
  <c r="G11" i="12" a="1"/>
  <c r="G11" i="12" s="1"/>
  <c r="G15" i="12" a="1"/>
  <c r="G15" i="12" s="1"/>
  <c r="G19" i="12" a="1"/>
  <c r="G19" i="12" s="1"/>
  <c r="J20" i="12" a="1"/>
  <c r="J20" i="12" s="1"/>
  <c r="G23" i="12" a="1"/>
  <c r="G23" i="12" s="1"/>
  <c r="J24" i="12" a="1"/>
  <c r="J24" i="12" s="1"/>
  <c r="G27" i="12" a="1"/>
  <c r="G27" i="12" s="1"/>
  <c r="J28" i="12" a="1"/>
  <c r="J28" i="12" s="1"/>
  <c r="J1" i="12" a="1"/>
  <c r="J1" i="12" s="1"/>
  <c r="G4" i="12" a="1"/>
  <c r="G4" i="12" s="1"/>
  <c r="J5" i="12" a="1"/>
  <c r="J5" i="12" s="1"/>
  <c r="J7" i="12" a="1"/>
  <c r="J7" i="12" s="1"/>
  <c r="G10" i="12" a="1"/>
  <c r="G10" i="12" s="1"/>
  <c r="J11" i="12" a="1"/>
  <c r="J11" i="12" s="1"/>
  <c r="G14" i="12" a="1"/>
  <c r="G14" i="12" s="1"/>
  <c r="J15" i="12" a="1"/>
  <c r="J15" i="12" s="1"/>
  <c r="G18" i="12" a="1"/>
  <c r="G18" i="12" s="1"/>
  <c r="J19" i="12" a="1"/>
  <c r="J19" i="12" s="1"/>
  <c r="G22" i="12" a="1"/>
  <c r="G22" i="12" s="1"/>
  <c r="J23" i="12" a="1"/>
  <c r="J23" i="12" s="1"/>
  <c r="G26" i="12" a="1"/>
  <c r="G26" i="12" s="1"/>
  <c r="J27" i="12" a="1"/>
  <c r="J27" i="12" s="1"/>
  <c r="G30" i="12" a="1"/>
  <c r="G30" i="12" s="1"/>
  <c r="J31" i="12" a="1"/>
  <c r="J31" i="12" s="1"/>
  <c r="G34" i="12" a="1"/>
  <c r="G34" i="12" s="1"/>
  <c r="J35" i="12" a="1"/>
  <c r="J35" i="12" s="1"/>
  <c r="G38" i="12" a="1"/>
  <c r="G38" i="12" s="1"/>
  <c r="G7" i="7" a="1"/>
  <c r="G7" i="7" s="1"/>
  <c r="J16" i="7" a="1"/>
  <c r="J16" i="7" s="1"/>
  <c r="J28" i="7" a="1"/>
  <c r="J28" i="7" s="1"/>
  <c r="G31" i="7" a="1"/>
  <c r="G31" i="7" s="1"/>
  <c r="G35" i="7" a="1"/>
  <c r="G35" i="7" s="1"/>
  <c r="J36" i="7" a="1"/>
  <c r="J36" i="7" s="1"/>
  <c r="G39" i="7" a="1"/>
  <c r="G39" i="7" s="1"/>
  <c r="J40" i="7" a="1"/>
  <c r="J40" i="7" s="1"/>
  <c r="J41" i="7" a="1"/>
  <c r="J41" i="7" s="1"/>
  <c r="G43" i="7" a="1"/>
  <c r="G43" i="7" s="1"/>
  <c r="J3" i="7" a="1"/>
  <c r="J3" i="7" s="1"/>
  <c r="G6" i="7" a="1"/>
  <c r="G6" i="7" s="1"/>
  <c r="G8" i="7" a="1"/>
  <c r="G8" i="7" s="1"/>
  <c r="J9" i="7" a="1"/>
  <c r="J9" i="7" s="1"/>
  <c r="G12" i="7" a="1"/>
  <c r="G12" i="7" s="1"/>
  <c r="J13" i="7" a="1"/>
  <c r="J13" i="7" s="1"/>
  <c r="G16" i="7" a="1"/>
  <c r="G16" i="7" s="1"/>
  <c r="J17" i="7" a="1"/>
  <c r="J17" i="7" s="1"/>
  <c r="G20" i="7" a="1"/>
  <c r="G20" i="7" s="1"/>
  <c r="J21" i="7" a="1"/>
  <c r="J21" i="7" s="1"/>
  <c r="G24" i="7" a="1"/>
  <c r="G24" i="7" s="1"/>
  <c r="J25" i="7" a="1"/>
  <c r="J25" i="7" s="1"/>
  <c r="G28" i="7" a="1"/>
  <c r="G28" i="7" s="1"/>
  <c r="J29" i="7" a="1"/>
  <c r="J29" i="7" s="1"/>
  <c r="G32" i="7" a="1"/>
  <c r="G32" i="7" s="1"/>
  <c r="J33" i="7" a="1"/>
  <c r="J33" i="7" s="1"/>
  <c r="G36" i="7" a="1"/>
  <c r="G36" i="7" s="1"/>
  <c r="J37" i="7" a="1"/>
  <c r="J37" i="7" s="1"/>
  <c r="G40" i="7" a="1"/>
  <c r="G40" i="7" s="1"/>
  <c r="J6" i="7" a="1"/>
  <c r="J6" i="7" s="1"/>
  <c r="J8" i="7" a="1"/>
  <c r="J8" i="7" s="1"/>
  <c r="G11" i="7" a="1"/>
  <c r="G11" i="7" s="1"/>
  <c r="J20" i="7" a="1"/>
  <c r="J20" i="7" s="1"/>
  <c r="G23" i="7" a="1"/>
  <c r="G23" i="7" s="1"/>
  <c r="J24" i="7" a="1"/>
  <c r="J24" i="7" s="1"/>
  <c r="G27" i="7" a="1"/>
  <c r="G27" i="7" s="1"/>
  <c r="J2" i="7" a="1"/>
  <c r="J2" i="7" s="1"/>
  <c r="J4" i="7" a="1"/>
  <c r="J4" i="7" s="1"/>
  <c r="G9" i="7" a="1"/>
  <c r="G9" i="7" s="1"/>
  <c r="J10" i="7" a="1"/>
  <c r="J10" i="7" s="1"/>
  <c r="G13" i="7" a="1"/>
  <c r="G13" i="7" s="1"/>
  <c r="J14" i="7" a="1"/>
  <c r="J14" i="7" s="1"/>
  <c r="G17" i="7" a="1"/>
  <c r="G17" i="7" s="1"/>
  <c r="J18" i="7" a="1"/>
  <c r="J18" i="7" s="1"/>
  <c r="G21" i="7" a="1"/>
  <c r="G21" i="7" s="1"/>
  <c r="J22" i="7" a="1"/>
  <c r="J22" i="7" s="1"/>
  <c r="G25" i="7" a="1"/>
  <c r="G25" i="7" s="1"/>
  <c r="J26" i="7" a="1"/>
  <c r="J26" i="7" s="1"/>
  <c r="G29" i="7" a="1"/>
  <c r="G29" i="7" s="1"/>
  <c r="J30" i="7" a="1"/>
  <c r="J30" i="7" s="1"/>
  <c r="G33" i="7" a="1"/>
  <c r="G33" i="7" s="1"/>
  <c r="J34" i="7" a="1"/>
  <c r="J34" i="7" s="1"/>
  <c r="G37" i="7" a="1"/>
  <c r="G37" i="7" s="1"/>
  <c r="J38" i="7" a="1"/>
  <c r="J38" i="7" s="1"/>
  <c r="G41" i="7" a="1"/>
  <c r="G41" i="7" s="1"/>
  <c r="G42" i="7" a="1"/>
  <c r="G42" i="7" s="1"/>
  <c r="G44" i="7" a="1"/>
  <c r="G44" i="7" s="1"/>
  <c r="G5" i="7" a="1"/>
  <c r="G5" i="7" s="1"/>
  <c r="J12" i="7" a="1"/>
  <c r="J12" i="7" s="1"/>
  <c r="G15" i="7" a="1"/>
  <c r="G15" i="7" s="1"/>
  <c r="G19" i="7" a="1"/>
  <c r="G19" i="7" s="1"/>
  <c r="J1" i="7" a="1"/>
  <c r="J1" i="7" s="1"/>
  <c r="G4" i="7" a="1"/>
  <c r="G4" i="7" s="1"/>
  <c r="J5" i="7" a="1"/>
  <c r="J5" i="7" s="1"/>
  <c r="J7" i="7" a="1"/>
  <c r="J7" i="7" s="1"/>
  <c r="G10" i="7" a="1"/>
  <c r="G10" i="7" s="1"/>
  <c r="J11" i="7" a="1"/>
  <c r="J11" i="7" s="1"/>
  <c r="G14" i="7" a="1"/>
  <c r="G14" i="7" s="1"/>
  <c r="J15" i="7" a="1"/>
  <c r="J15" i="7" s="1"/>
  <c r="G18" i="7" a="1"/>
  <c r="G18" i="7" s="1"/>
  <c r="J19" i="7" a="1"/>
  <c r="J19" i="7" s="1"/>
  <c r="G22" i="7" a="1"/>
  <c r="G22" i="7" s="1"/>
  <c r="J23" i="7" a="1"/>
  <c r="J23" i="7" s="1"/>
  <c r="G26" i="7" a="1"/>
  <c r="G26" i="7" s="1"/>
  <c r="J27" i="7" a="1"/>
  <c r="J27" i="7" s="1"/>
  <c r="G30" i="7" a="1"/>
  <c r="G30" i="7" s="1"/>
  <c r="J31" i="7" a="1"/>
  <c r="J31" i="7" s="1"/>
  <c r="G34" i="7" a="1"/>
  <c r="G34" i="7" s="1"/>
  <c r="J35" i="7" a="1"/>
  <c r="J35" i="7" s="1"/>
  <c r="G38" i="7" a="1"/>
  <c r="G38" i="7" s="1"/>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46"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5" i="2"/>
  <c r="E43" i="2" a="1"/>
  <c r="E36" i="2" a="1"/>
  <c r="E20" i="2" a="1"/>
  <c r="E8" i="2" a="1"/>
  <c r="E25" i="2" a="1"/>
  <c r="E21" i="2" a="1"/>
  <c r="E12" i="2" a="1"/>
  <c r="E32" i="2" a="1"/>
  <c r="E16" i="2" a="1"/>
  <c r="E23" i="2" a="1"/>
  <c r="E27" i="2" a="1"/>
  <c r="E40" i="2" a="1"/>
  <c r="E29" i="2" a="1"/>
  <c r="E26" i="2" a="1"/>
  <c r="E42" i="2" a="1"/>
  <c r="E7" i="2" a="1"/>
  <c r="E11" i="2" a="1"/>
  <c r="E39" i="2" a="1"/>
  <c r="E34" i="2" a="1"/>
  <c r="E17" i="2" a="1"/>
  <c r="E38" i="2" a="1"/>
  <c r="E30" i="2" a="1"/>
  <c r="E28" i="2" a="1"/>
  <c r="E10" i="2" a="1"/>
  <c r="E41" i="2" a="1"/>
  <c r="E24" i="2" a="1"/>
  <c r="E14" i="2" a="1"/>
  <c r="E35" i="2" a="1"/>
  <c r="E19" i="2" a="1"/>
  <c r="E15" i="2" a="1"/>
  <c r="E31" i="2" a="1"/>
  <c r="E5" i="2" a="1"/>
  <c r="E22" i="2" a="1"/>
  <c r="E44" i="2" a="1"/>
  <c r="E9" i="2" a="1"/>
  <c r="E13" i="2" a="1"/>
  <c r="E33" i="2" a="1"/>
  <c r="E18" i="2" a="1"/>
  <c r="E6" i="2" a="1"/>
  <c r="E37" i="2" a="1"/>
  <c r="E27" i="2" l="1"/>
  <c r="E39" i="2"/>
  <c r="E33" i="2"/>
  <c r="E31" i="2"/>
  <c r="E44" i="2"/>
  <c r="AA44" i="2" s="1" a="1"/>
  <c r="E40" i="2"/>
  <c r="E36" i="2"/>
  <c r="AA36" i="2" s="1" a="1"/>
  <c r="AA36" i="2" s="1"/>
  <c r="E32" i="2"/>
  <c r="AA32" i="2" s="1" a="1"/>
  <c r="AA32" i="2" s="1"/>
  <c r="E28" i="2"/>
  <c r="AA28" i="2" s="1" a="1"/>
  <c r="AA28" i="2" s="1"/>
  <c r="E24" i="2"/>
  <c r="AA24" i="2" s="1" a="1"/>
  <c r="AA24" i="2" s="1"/>
  <c r="E18" i="2"/>
  <c r="AA18" i="2" s="1" a="1"/>
  <c r="AA18" i="2" s="1"/>
  <c r="E14" i="2"/>
  <c r="AA14" i="2" s="1" a="1"/>
  <c r="AA14" i="2" s="1"/>
  <c r="E8" i="2"/>
  <c r="AA8" i="2" s="1" a="1"/>
  <c r="AA8" i="2" s="1"/>
  <c r="E37" i="2"/>
  <c r="AA37" i="2" s="1" a="1"/>
  <c r="AA37" i="2" s="1"/>
  <c r="E25" i="2"/>
  <c r="AA25" i="2" s="1" a="1"/>
  <c r="AA25" i="2" s="1"/>
  <c r="E23" i="2"/>
  <c r="AA23" i="2" s="1" a="1"/>
  <c r="AA23" i="2" s="1"/>
  <c r="E21" i="2"/>
  <c r="AA21" i="2" s="1" a="1"/>
  <c r="AA21" i="2" s="1"/>
  <c r="E19" i="2"/>
  <c r="AA19" i="2" s="1" a="1"/>
  <c r="AA19" i="2" s="1"/>
  <c r="E17" i="2"/>
  <c r="AA17" i="2" s="1" a="1"/>
  <c r="AA17" i="2" s="1"/>
  <c r="E15" i="2"/>
  <c r="AA15" i="2" s="1" a="1"/>
  <c r="AA15" i="2" s="1"/>
  <c r="E13" i="2"/>
  <c r="AA13" i="2" s="1" a="1"/>
  <c r="AA13" i="2" s="1"/>
  <c r="E11" i="2"/>
  <c r="E9" i="2"/>
  <c r="AA9" i="2" s="1" a="1"/>
  <c r="AA9" i="2" s="1"/>
  <c r="E7" i="2"/>
  <c r="AA7" i="2" s="1" a="1"/>
  <c r="AA7" i="2" s="1"/>
  <c r="E43" i="2"/>
  <c r="E41" i="2"/>
  <c r="E35" i="2"/>
  <c r="AA35" i="2" s="1" a="1"/>
  <c r="AA35" i="2" s="1"/>
  <c r="E29" i="2"/>
  <c r="E42" i="2"/>
  <c r="E38" i="2"/>
  <c r="AA38" i="2" s="1" a="1"/>
  <c r="AA38" i="2" s="1"/>
  <c r="E34" i="2"/>
  <c r="AA34" i="2" s="1" a="1"/>
  <c r="AA34" i="2" s="1"/>
  <c r="E30" i="2"/>
  <c r="AA30" i="2" s="1" a="1"/>
  <c r="AA30" i="2" s="1"/>
  <c r="E26" i="2"/>
  <c r="E22" i="2"/>
  <c r="AA22" i="2" s="1" a="1"/>
  <c r="AA22" i="2" s="1"/>
  <c r="E20" i="2"/>
  <c r="AA20" i="2" s="1" a="1"/>
  <c r="AA20" i="2" s="1"/>
  <c r="E16" i="2"/>
  <c r="AA16" i="2" s="1" a="1"/>
  <c r="AA16" i="2" s="1"/>
  <c r="E12" i="2"/>
  <c r="AA12" i="2" s="1" a="1"/>
  <c r="AA12" i="2" s="1"/>
  <c r="E10" i="2"/>
  <c r="E6" i="2"/>
  <c r="E5" i="2"/>
  <c r="AA5" i="2" s="1" a="1"/>
  <c r="AA5" i="2" s="1"/>
  <c r="Q46" i="2" a="1"/>
  <c r="H46" i="2" a="1"/>
  <c r="N46" i="2" a="1"/>
  <c r="K46" i="2" a="1"/>
  <c r="F46" i="2" a="1"/>
  <c r="L46" i="2" a="1"/>
  <c r="P46" i="2" a="1"/>
  <c r="R46" i="2" a="1"/>
  <c r="E46" i="2" a="1"/>
  <c r="S46" i="2" a="1"/>
  <c r="I46" i="2" a="1"/>
  <c r="G46" i="2" a="1"/>
  <c r="O46" i="2" a="1"/>
  <c r="J46" i="2" a="1"/>
  <c r="M46" i="2" a="1"/>
  <c r="AA39" i="2" a="1"/>
  <c r="AA33" i="2" a="1"/>
  <c r="AA27" i="2" a="1"/>
  <c r="AA10" i="2" a="1"/>
  <c r="AA26" i="2" a="1"/>
  <c r="AA11" i="2" a="1"/>
  <c r="AA31" i="2" a="1"/>
  <c r="AA29" i="2" a="1"/>
  <c r="AA6" i="2" a="1"/>
  <c r="AA44" i="2" l="1"/>
  <c r="AA41" i="2" a="1"/>
  <c r="AA41" i="2" s="1"/>
  <c r="AA40" i="2" a="1"/>
  <c r="AA40" i="2" s="1"/>
  <c r="AA27" i="2"/>
  <c r="AA11" i="2"/>
  <c r="AA26" i="2"/>
  <c r="AA6" i="2"/>
  <c r="AA10" i="2"/>
  <c r="AA29" i="2"/>
  <c r="AA31" i="2"/>
  <c r="AA33" i="2"/>
  <c r="AA39" i="2"/>
  <c r="P38" i="6"/>
  <c r="P21" i="6"/>
  <c r="P40" i="6"/>
  <c r="P18" i="6"/>
  <c r="P17" i="6"/>
  <c r="P35" i="6"/>
  <c r="P4" i="6"/>
  <c r="P15" i="6"/>
  <c r="P29" i="6"/>
  <c r="P28" i="6"/>
  <c r="P6" i="6"/>
  <c r="P14" i="6"/>
  <c r="P22" i="6"/>
  <c r="P7" i="6"/>
  <c r="P27" i="6"/>
  <c r="P43" i="6"/>
  <c r="P5" i="6"/>
  <c r="P19" i="6"/>
  <c r="P33" i="6"/>
  <c r="P34" i="6"/>
  <c r="P8" i="6"/>
  <c r="P16" i="6"/>
  <c r="P24" i="6"/>
  <c r="P13" i="6"/>
  <c r="P31" i="6"/>
  <c r="P30" i="6"/>
  <c r="P9" i="6"/>
  <c r="P37" i="6"/>
  <c r="P10" i="6"/>
  <c r="P26" i="6"/>
  <c r="P32" i="6"/>
  <c r="P11" i="6"/>
  <c r="P25" i="6"/>
  <c r="P41" i="6"/>
  <c r="P42" i="6"/>
  <c r="P12" i="6"/>
  <c r="P20" i="6"/>
  <c r="P36" i="6"/>
  <c r="P23" i="6"/>
  <c r="P39" i="6"/>
  <c r="L46" i="2"/>
  <c r="H46" i="2"/>
  <c r="R46" i="2"/>
  <c r="G46" i="2"/>
  <c r="F46" i="2"/>
  <c r="E46" i="2"/>
  <c r="J46" i="2"/>
  <c r="I46" i="2"/>
  <c r="K46" i="2"/>
  <c r="M46" i="2"/>
  <c r="P46" i="2"/>
  <c r="S46" i="2"/>
  <c r="N46" i="2"/>
  <c r="Q46" i="2"/>
  <c r="O46" i="2"/>
  <c r="A8" i="3"/>
  <c r="A9" i="3" s="1"/>
  <c r="A10" i="3" s="1"/>
  <c r="A11" i="3" s="1"/>
  <c r="A12" i="3" s="1"/>
  <c r="A13" i="3" s="1"/>
  <c r="A14" i="3" s="1"/>
  <c r="A15" i="3" s="1"/>
  <c r="A16" i="3" s="1"/>
  <c r="A17" i="3" s="1"/>
  <c r="A18" i="3" s="1"/>
  <c r="A19" i="3" s="1"/>
  <c r="A20" i="3" s="1"/>
  <c r="A7" i="3"/>
  <c r="M52" i="2" a="1"/>
  <c r="E48" i="2" a="1"/>
  <c r="H54" i="2" a="1"/>
  <c r="K54" i="2" a="1"/>
  <c r="O47" i="2" a="1"/>
  <c r="K52" i="2" a="1"/>
  <c r="P51" i="2" a="1"/>
  <c r="O49" i="2" a="1"/>
  <c r="G52" i="2" a="1"/>
  <c r="R54" i="2" a="1"/>
  <c r="L47" i="2" a="1"/>
  <c r="J48" i="2" a="1"/>
  <c r="N49" i="2" a="1"/>
  <c r="I48" i="2" a="1"/>
  <c r="G50" i="2" a="1"/>
  <c r="P53" i="2" a="1"/>
  <c r="P48" i="2" a="1"/>
  <c r="K50" i="2" a="1"/>
  <c r="R52" i="2" a="1"/>
  <c r="L50" i="2" a="1"/>
  <c r="L48" i="2" a="1"/>
  <c r="S47" i="2" a="1"/>
  <c r="P49" i="2" a="1"/>
  <c r="M50" i="2" a="1"/>
  <c r="G47" i="2" a="1"/>
  <c r="P50" i="2" a="1"/>
  <c r="L49" i="2" a="1"/>
  <c r="N51" i="2" a="1"/>
  <c r="H52" i="2" a="1"/>
  <c r="I49" i="2" a="1"/>
  <c r="E47" i="2" a="1"/>
  <c r="G48" i="2" a="1"/>
  <c r="E53" i="2" a="1"/>
  <c r="E50" i="2" a="1"/>
  <c r="M54" i="2" a="1"/>
  <c r="O54" i="2" a="1"/>
  <c r="E51" i="2" a="1"/>
  <c r="F48" i="2" a="1"/>
  <c r="F49" i="2" a="1"/>
  <c r="I51" i="2" a="1"/>
  <c r="R49" i="2" a="1"/>
  <c r="O50" i="2" a="1"/>
  <c r="H51" i="2" a="1"/>
  <c r="G51" i="2" a="1"/>
  <c r="M49" i="2" a="1"/>
  <c r="Q53" i="2" a="1"/>
  <c r="Q50" i="2" a="1"/>
  <c r="I47" i="2" a="1"/>
  <c r="O51" i="2" a="1"/>
  <c r="H53" i="2" a="1"/>
  <c r="Q52" i="2" a="1"/>
  <c r="L52" i="2" a="1"/>
  <c r="J50" i="2" a="1"/>
  <c r="K51" i="2" a="1"/>
  <c r="N47" i="2" a="1"/>
  <c r="L51" i="2" a="1"/>
  <c r="K49" i="2" a="1"/>
  <c r="N54" i="2" a="1"/>
  <c r="O52" i="2" a="1"/>
  <c r="J51" i="2" a="1"/>
  <c r="H48" i="2" a="1"/>
  <c r="J47" i="2" a="1"/>
  <c r="N48" i="2" a="1"/>
  <c r="R51" i="2" a="1"/>
  <c r="G54" i="2" a="1"/>
  <c r="H47" i="2" a="1"/>
  <c r="J49" i="2" a="1"/>
  <c r="I50" i="2" a="1"/>
  <c r="F47" i="2" a="1"/>
  <c r="F52" i="2" a="1"/>
  <c r="M53" i="2" a="1"/>
  <c r="P52" i="2" a="1"/>
  <c r="I53" i="2" a="1"/>
  <c r="Q49" i="2" a="1"/>
  <c r="S48" i="2" a="1"/>
  <c r="F50" i="2" a="1"/>
  <c r="Q54" i="2" a="1"/>
  <c r="E54" i="2" a="1"/>
  <c r="L54" i="2" a="1"/>
  <c r="N53" i="2" a="1"/>
  <c r="H50" i="2" a="1"/>
  <c r="J52" i="2" a="1"/>
  <c r="Q48" i="2" a="1"/>
  <c r="I52" i="2" a="1"/>
  <c r="E49" i="2" a="1"/>
  <c r="F53" i="2" a="1"/>
  <c r="N52" i="2" a="1"/>
  <c r="L53" i="2" a="1"/>
  <c r="G53" i="2" a="1"/>
  <c r="K53" i="2" a="1"/>
  <c r="P54" i="2" a="1"/>
  <c r="E52" i="2" a="1"/>
  <c r="O48" i="2" a="1"/>
  <c r="R50" i="2" a="1"/>
  <c r="N50" i="2" a="1"/>
  <c r="P47" i="2" a="1"/>
  <c r="Q51" i="2" a="1"/>
  <c r="K47" i="2" a="1"/>
  <c r="H49" i="2" a="1"/>
  <c r="I54" i="2" a="1"/>
  <c r="Q47" i="2" a="1"/>
  <c r="J53" i="2" a="1"/>
  <c r="O53" i="2" a="1"/>
  <c r="F54" i="2" a="1"/>
  <c r="M51" i="2" a="1"/>
  <c r="K48" i="2" a="1"/>
  <c r="R53" i="2" a="1"/>
  <c r="G49" i="2" a="1"/>
  <c r="R47" i="2" a="1"/>
  <c r="F51" i="2" a="1"/>
  <c r="R48" i="2" a="1"/>
  <c r="J54" i="2" a="1"/>
  <c r="M47" i="2" a="1"/>
  <c r="M48" i="2" a="1"/>
  <c r="AA42" i="2" a="1"/>
  <c r="AA43" i="2" a="1"/>
  <c r="L44" i="2" a="1"/>
  <c r="J44" i="2" a="1"/>
  <c r="Q44" i="2" a="1"/>
  <c r="I43" i="2" a="1"/>
  <c r="L43" i="2" a="1"/>
  <c r="N43" i="2" a="1"/>
  <c r="F43" i="2" a="1"/>
  <c r="N42" i="2" a="1"/>
  <c r="K42" i="2" a="1"/>
  <c r="J42" i="2" a="1"/>
  <c r="R41" i="2" a="1"/>
  <c r="N41" i="2" a="1"/>
  <c r="S41" i="2" a="1"/>
  <c r="F41" i="2" a="1"/>
  <c r="H40" i="2" a="1"/>
  <c r="R40" i="2" a="1"/>
  <c r="O40" i="2" a="1"/>
  <c r="S39" i="2" a="1"/>
  <c r="I38" i="2" a="1"/>
  <c r="Q39" i="2" a="1"/>
  <c r="P38" i="2" a="1"/>
  <c r="M37" i="2" a="1"/>
  <c r="P36" i="2" a="1"/>
  <c r="I39" i="2" a="1"/>
  <c r="K37" i="2" a="1"/>
  <c r="H35" i="2" a="1"/>
  <c r="K35" i="2" a="1"/>
  <c r="R39" i="2" a="1"/>
  <c r="J37" i="2" a="1"/>
  <c r="M36" i="2" a="1"/>
  <c r="F35" i="2" a="1"/>
  <c r="J39" i="2" a="1"/>
  <c r="I36" i="2" a="1"/>
  <c r="F37" i="2" a="1"/>
  <c r="J35" i="2" a="1"/>
  <c r="G44" i="2" a="1"/>
  <c r="M44" i="2" a="1"/>
  <c r="R43" i="2" a="1"/>
  <c r="M43" i="2" a="1"/>
  <c r="O42" i="2" a="1"/>
  <c r="Q42" i="2" a="1"/>
  <c r="K41" i="2" a="1"/>
  <c r="I40" i="2" a="1"/>
  <c r="Q40" i="2" a="1"/>
  <c r="J38" i="2" a="1"/>
  <c r="M38" i="2" a="1"/>
  <c r="O36" i="2" a="1"/>
  <c r="H38" i="2" a="1"/>
  <c r="F36" i="2" a="1"/>
  <c r="Q38" i="2" a="1"/>
  <c r="K36" i="2" a="1"/>
  <c r="I37" i="2" a="1"/>
  <c r="H36" i="2" a="1"/>
  <c r="O44" i="2" a="1"/>
  <c r="O43" i="2" a="1"/>
  <c r="P43" i="2" a="1"/>
  <c r="L42" i="2" a="1"/>
  <c r="F42" i="2" a="1"/>
  <c r="P41" i="2" a="1"/>
  <c r="G41" i="2" a="1"/>
  <c r="J40" i="2" a="1"/>
  <c r="K39" i="2" a="1"/>
  <c r="L39" i="2" a="1"/>
  <c r="S37" i="2" a="1"/>
  <c r="Q35" i="2" a="1"/>
  <c r="R36" i="2" a="1"/>
  <c r="G38" i="2" a="1"/>
  <c r="O35" i="2" a="1"/>
  <c r="O37" i="2" a="1"/>
  <c r="R35" i="2" a="1"/>
  <c r="N44" i="2" a="1"/>
  <c r="S44" i="2" a="1"/>
  <c r="I44" i="2" a="1"/>
  <c r="R44" i="2" a="1"/>
  <c r="Q43" i="2" a="1"/>
  <c r="J43" i="2" a="1"/>
  <c r="S43" i="2" a="1"/>
  <c r="P42" i="2" a="1"/>
  <c r="I42" i="2" a="1"/>
  <c r="M42" i="2" a="1"/>
  <c r="H42" i="2" a="1"/>
  <c r="O41" i="2" a="1"/>
  <c r="M41" i="2" a="1"/>
  <c r="J41" i="2" a="1"/>
  <c r="M40" i="2" a="1"/>
  <c r="S40" i="2" a="1"/>
  <c r="P40" i="2" a="1"/>
  <c r="N40" i="2" a="1"/>
  <c r="H39" i="2" a="1"/>
  <c r="N38" i="2" a="1"/>
  <c r="F39" i="2" a="1"/>
  <c r="R38" i="2" a="1"/>
  <c r="Q36" i="2" a="1"/>
  <c r="N35" i="2" a="1"/>
  <c r="M39" i="2" a="1"/>
  <c r="H37" i="2" a="1"/>
  <c r="G37" i="2" a="1"/>
  <c r="G39" i="2" a="1"/>
  <c r="S38" i="2" a="1"/>
  <c r="N37" i="2" a="1"/>
  <c r="N36" i="2" a="1"/>
  <c r="G35" i="2" a="1"/>
  <c r="F38" i="2" a="1"/>
  <c r="G36" i="2" a="1"/>
  <c r="L37" i="2" a="1"/>
  <c r="P44" i="2" a="1"/>
  <c r="H44" i="2" a="1"/>
  <c r="K43" i="2" a="1"/>
  <c r="R42" i="2" a="1"/>
  <c r="G42" i="2" a="1"/>
  <c r="L41" i="2" a="1"/>
  <c r="I41" i="2" a="1"/>
  <c r="K40" i="2" a="1"/>
  <c r="G40" i="2" a="1"/>
  <c r="S36" i="2" a="1"/>
  <c r="R37" i="2" a="1"/>
  <c r="I35" i="2" a="1"/>
  <c r="L36" i="2" a="1"/>
  <c r="P39" i="2" a="1"/>
  <c r="P37" i="2" a="1"/>
  <c r="S35" i="2" a="1"/>
  <c r="P35" i="2" a="1"/>
  <c r="K44" i="2" a="1"/>
  <c r="F44" i="2" a="1"/>
  <c r="G43" i="2" a="1"/>
  <c r="H43" i="2" a="1"/>
  <c r="S42" i="2" a="1"/>
  <c r="Q41" i="2" a="1"/>
  <c r="H41" i="2" a="1"/>
  <c r="L40" i="2" a="1"/>
  <c r="F40" i="2" a="1"/>
  <c r="L38" i="2" a="1"/>
  <c r="O38" i="2" a="1"/>
  <c r="J36" i="2" a="1"/>
  <c r="K38" i="2" a="1"/>
  <c r="M35" i="2" a="1"/>
  <c r="O39" i="2" a="1"/>
  <c r="Q37" i="2" a="1"/>
  <c r="N39" i="2" a="1"/>
  <c r="L35" i="2" a="1"/>
  <c r="AA42" i="2" l="1"/>
  <c r="AA43" i="2"/>
  <c r="H51" i="2"/>
  <c r="M48" i="2"/>
  <c r="K49" i="2"/>
  <c r="E52" i="2"/>
  <c r="O50" i="2"/>
  <c r="R51" i="2"/>
  <c r="M52" i="2"/>
  <c r="P54" i="2"/>
  <c r="R49" i="2"/>
  <c r="M47" i="2"/>
  <c r="M51" i="2"/>
  <c r="K53" i="2"/>
  <c r="I51" i="2"/>
  <c r="I48" i="2"/>
  <c r="L51" i="2"/>
  <c r="G53" i="2"/>
  <c r="F49" i="2"/>
  <c r="N48" i="2"/>
  <c r="F54" i="2"/>
  <c r="L53" i="2"/>
  <c r="F48" i="2"/>
  <c r="J54" i="2"/>
  <c r="N47" i="2"/>
  <c r="N52" i="2"/>
  <c r="E51" i="2"/>
  <c r="J47" i="2"/>
  <c r="O53" i="2"/>
  <c r="F53" i="2"/>
  <c r="O54" i="2"/>
  <c r="R48" i="2"/>
  <c r="K51" i="2"/>
  <c r="E49" i="2"/>
  <c r="M54" i="2"/>
  <c r="H48" i="2"/>
  <c r="J53" i="2"/>
  <c r="I52" i="2"/>
  <c r="E50" i="2"/>
  <c r="F51" i="2"/>
  <c r="J50" i="2"/>
  <c r="Q48" i="2"/>
  <c r="E53" i="2"/>
  <c r="J51" i="2"/>
  <c r="Q47" i="2"/>
  <c r="J52" i="2"/>
  <c r="G48" i="2"/>
  <c r="R47" i="2"/>
  <c r="L52" i="2"/>
  <c r="H50" i="2"/>
  <c r="E47" i="2"/>
  <c r="O52" i="2"/>
  <c r="I54" i="2"/>
  <c r="N53" i="2"/>
  <c r="I49" i="2"/>
  <c r="G49" i="2"/>
  <c r="Q52" i="2"/>
  <c r="L54" i="2"/>
  <c r="H52" i="2"/>
  <c r="N54" i="2"/>
  <c r="H49" i="2"/>
  <c r="E54" i="2"/>
  <c r="N51" i="2"/>
  <c r="R53" i="2"/>
  <c r="H53" i="2"/>
  <c r="Q54" i="2"/>
  <c r="L49" i="2"/>
  <c r="K48" i="2"/>
  <c r="K47" i="2"/>
  <c r="F50" i="2"/>
  <c r="P50" i="2"/>
  <c r="N49" i="2"/>
  <c r="O51" i="2"/>
  <c r="S48" i="2"/>
  <c r="G47" i="2"/>
  <c r="J48" i="2"/>
  <c r="Q51" i="2"/>
  <c r="Q49" i="2"/>
  <c r="M50" i="2"/>
  <c r="L47" i="2"/>
  <c r="I47" i="2"/>
  <c r="I53" i="2"/>
  <c r="P49" i="2"/>
  <c r="R54" i="2"/>
  <c r="P47" i="2"/>
  <c r="P52" i="2"/>
  <c r="S47" i="2"/>
  <c r="G52" i="2"/>
  <c r="Q50" i="2"/>
  <c r="M53" i="2"/>
  <c r="L48" i="2"/>
  <c r="O49" i="2"/>
  <c r="N50" i="2"/>
  <c r="F52" i="2"/>
  <c r="L50" i="2"/>
  <c r="P51" i="2"/>
  <c r="Q53" i="2"/>
  <c r="F47" i="2"/>
  <c r="R52" i="2"/>
  <c r="K52" i="2"/>
  <c r="M49" i="2"/>
  <c r="I50" i="2"/>
  <c r="K50" i="2"/>
  <c r="O47" i="2"/>
  <c r="R50" i="2"/>
  <c r="J49" i="2"/>
  <c r="P48" i="2"/>
  <c r="K54" i="2"/>
  <c r="O48" i="2"/>
  <c r="H47" i="2"/>
  <c r="P53" i="2"/>
  <c r="H54" i="2"/>
  <c r="G51" i="2"/>
  <c r="G54" i="2"/>
  <c r="G50" i="2"/>
  <c r="E48" i="2"/>
  <c r="F43" i="2"/>
  <c r="F36" i="2"/>
  <c r="AB36" i="2" s="1" a="1"/>
  <c r="AB36" i="2" s="1"/>
  <c r="F38" i="2"/>
  <c r="F40" i="2"/>
  <c r="F42" i="2"/>
  <c r="H35" i="2"/>
  <c r="H37" i="2"/>
  <c r="H39" i="2"/>
  <c r="H41" i="2"/>
  <c r="H44" i="2"/>
  <c r="I43" i="2"/>
  <c r="J36" i="2"/>
  <c r="AF36" i="2" s="1" a="1"/>
  <c r="AF36" i="2" s="1"/>
  <c r="J38" i="2"/>
  <c r="J40" i="2"/>
  <c r="AF40" i="2" s="1" a="1"/>
  <c r="AF40" i="2" s="1"/>
  <c r="J42" i="2"/>
  <c r="L35" i="2"/>
  <c r="L37" i="2"/>
  <c r="AH37" i="2" s="1" a="1"/>
  <c r="AH37" i="2" s="1"/>
  <c r="L39" i="2"/>
  <c r="AH39" i="2" s="1" a="1"/>
  <c r="AH39" i="2" s="1"/>
  <c r="L41" i="2"/>
  <c r="AH41" i="2" s="1" a="1"/>
  <c r="AH41" i="2" s="1"/>
  <c r="L44" i="2"/>
  <c r="AH44" i="2" s="1" a="1"/>
  <c r="M43" i="2"/>
  <c r="N36" i="2"/>
  <c r="N38" i="2"/>
  <c r="AJ38" i="2" s="1" a="1"/>
  <c r="AJ38" i="2" s="1"/>
  <c r="N40" i="2"/>
  <c r="AJ40" i="2" s="1" a="1"/>
  <c r="AJ40" i="2" s="1"/>
  <c r="N42" i="2"/>
  <c r="P35" i="2"/>
  <c r="P37" i="2"/>
  <c r="P39" i="2"/>
  <c r="AL39" i="2" s="1" a="1"/>
  <c r="AL39" i="2" s="1"/>
  <c r="P41" i="2"/>
  <c r="AL41" i="2" s="1" a="1"/>
  <c r="AL41" i="2" s="1"/>
  <c r="P44" i="2"/>
  <c r="AL44" i="2" s="1" a="1"/>
  <c r="R43" i="2"/>
  <c r="Q36" i="2"/>
  <c r="Q38" i="2"/>
  <c r="Q40" i="2"/>
  <c r="AM40" i="2" s="1" a="1"/>
  <c r="AM40" i="2" s="1"/>
  <c r="Q42" i="2"/>
  <c r="AM42" i="2" s="1" a="1"/>
  <c r="G36" i="2"/>
  <c r="G38" i="2"/>
  <c r="G40" i="2"/>
  <c r="AC40" i="2" s="1" a="1"/>
  <c r="AC40" i="2" s="1"/>
  <c r="G42" i="2"/>
  <c r="AC42" i="2" s="1" a="1"/>
  <c r="I35" i="2"/>
  <c r="I37" i="2"/>
  <c r="I39" i="2"/>
  <c r="AE39" i="2" s="1" a="1"/>
  <c r="AE39" i="2" s="1"/>
  <c r="I41" i="2"/>
  <c r="AE41" i="2" s="1" a="1"/>
  <c r="AE41" i="2" s="1"/>
  <c r="I44" i="2"/>
  <c r="AE44" i="2" s="1" a="1"/>
  <c r="J43" i="2"/>
  <c r="K36" i="2"/>
  <c r="AG36" i="2" s="1" a="1"/>
  <c r="AG36" i="2" s="1"/>
  <c r="K38" i="2"/>
  <c r="K40" i="2"/>
  <c r="AG40" i="2" s="1" a="1"/>
  <c r="AG40" i="2" s="1"/>
  <c r="K42" i="2"/>
  <c r="M35" i="2"/>
  <c r="M37" i="2"/>
  <c r="AI37" i="2" s="1" a="1"/>
  <c r="AI37" i="2" s="1"/>
  <c r="M39" i="2"/>
  <c r="AI39" i="2" s="1" a="1"/>
  <c r="AI39" i="2" s="1"/>
  <c r="M41" i="2"/>
  <c r="AI41" i="2" s="1" a="1"/>
  <c r="AI41" i="2" s="1"/>
  <c r="M44" i="2"/>
  <c r="N43" i="2"/>
  <c r="O36" i="2"/>
  <c r="AK36" i="2" s="1" a="1"/>
  <c r="AK36" i="2" s="1"/>
  <c r="O38" i="2"/>
  <c r="O40" i="2"/>
  <c r="AK40" i="2" s="1" a="1"/>
  <c r="AK40" i="2" s="1"/>
  <c r="O42" i="2"/>
  <c r="R35" i="2"/>
  <c r="R37" i="2"/>
  <c r="AN37" i="2" s="1" a="1"/>
  <c r="AN37" i="2" s="1"/>
  <c r="R39" i="2"/>
  <c r="R41" i="2"/>
  <c r="AN41" i="2" s="1" a="1"/>
  <c r="AN41" i="2" s="1"/>
  <c r="R44" i="2"/>
  <c r="Q43" i="2"/>
  <c r="S36" i="2"/>
  <c r="AO36" i="2" s="1" a="1"/>
  <c r="AO36" i="2" s="1"/>
  <c r="S38" i="2"/>
  <c r="S40" i="2"/>
  <c r="AO40" i="2" s="1" a="1"/>
  <c r="AO40" i="2" s="1"/>
  <c r="S42" i="2"/>
  <c r="F35" i="2"/>
  <c r="F37" i="2"/>
  <c r="F39" i="2"/>
  <c r="AB39" i="2" s="1" a="1"/>
  <c r="AB39" i="2" s="1"/>
  <c r="F41" i="2"/>
  <c r="F44" i="2"/>
  <c r="AB44" i="2" s="1" a="1"/>
  <c r="G43" i="2"/>
  <c r="AC43" i="2" s="1" a="1"/>
  <c r="H36" i="2"/>
  <c r="AD36" i="2" s="1" a="1"/>
  <c r="AD36" i="2" s="1"/>
  <c r="H38" i="2"/>
  <c r="AD38" i="2" s="1" a="1"/>
  <c r="AD38" i="2" s="1"/>
  <c r="H40" i="2"/>
  <c r="H42" i="2"/>
  <c r="J35" i="2"/>
  <c r="J37" i="2"/>
  <c r="J39" i="2"/>
  <c r="AF39" i="2" s="1" a="1"/>
  <c r="AF39" i="2" s="1"/>
  <c r="J41" i="2"/>
  <c r="AF41" i="2" s="1" a="1"/>
  <c r="AF41" i="2" s="1"/>
  <c r="J44" i="2"/>
  <c r="AF44" i="2" s="1" a="1"/>
  <c r="K43" i="2"/>
  <c r="L36" i="2"/>
  <c r="AH36" i="2" s="1" a="1"/>
  <c r="AH36" i="2" s="1"/>
  <c r="L38" i="2"/>
  <c r="L40" i="2"/>
  <c r="AH40" i="2" s="1" a="1"/>
  <c r="AH40" i="2" s="1"/>
  <c r="L42" i="2"/>
  <c r="N35" i="2"/>
  <c r="N37" i="2"/>
  <c r="AJ37" i="2" s="1" a="1"/>
  <c r="AJ37" i="2" s="1"/>
  <c r="N39" i="2"/>
  <c r="AJ39" i="2" s="1" a="1"/>
  <c r="AJ39" i="2" s="1"/>
  <c r="N41" i="2"/>
  <c r="N44" i="2"/>
  <c r="O43" i="2"/>
  <c r="P36" i="2"/>
  <c r="AL36" i="2" s="1" a="1"/>
  <c r="AL36" i="2" s="1"/>
  <c r="P38" i="2"/>
  <c r="P40" i="2"/>
  <c r="AL40" i="2" s="1" a="1"/>
  <c r="AL40" i="2" s="1"/>
  <c r="P42" i="2"/>
  <c r="Q35" i="2"/>
  <c r="Q37" i="2"/>
  <c r="AM37" i="2" s="1" a="1"/>
  <c r="AM37" i="2" s="1"/>
  <c r="Q39" i="2"/>
  <c r="AM39" i="2" s="1" a="1"/>
  <c r="AM39" i="2" s="1"/>
  <c r="Q41" i="2"/>
  <c r="Q44" i="2"/>
  <c r="S43" i="2"/>
  <c r="G35" i="2"/>
  <c r="AC35" i="2" s="1" a="1"/>
  <c r="AC35" i="2" s="1"/>
  <c r="G37" i="2"/>
  <c r="G39" i="2"/>
  <c r="AC39" i="2" s="1" a="1"/>
  <c r="AC39" i="2" s="1"/>
  <c r="G41" i="2"/>
  <c r="AC41" i="2" s="1" a="1"/>
  <c r="AC41" i="2" s="1"/>
  <c r="G44" i="2"/>
  <c r="H43" i="2"/>
  <c r="AD43" i="2" s="1" a="1"/>
  <c r="I36" i="2"/>
  <c r="AE36" i="2" s="1" a="1"/>
  <c r="AE36" i="2" s="1"/>
  <c r="I38" i="2"/>
  <c r="I40" i="2"/>
  <c r="AE40" i="2" s="1" a="1"/>
  <c r="AE40" i="2" s="1"/>
  <c r="I42" i="2"/>
  <c r="K35" i="2"/>
  <c r="K37" i="2"/>
  <c r="K39" i="2"/>
  <c r="AG39" i="2" s="1" a="1"/>
  <c r="AG39" i="2" s="1"/>
  <c r="K41" i="2"/>
  <c r="K44" i="2"/>
  <c r="L43" i="2"/>
  <c r="M36" i="2"/>
  <c r="AI36" i="2" s="1" a="1"/>
  <c r="AI36" i="2" s="1"/>
  <c r="M38" i="2"/>
  <c r="M40" i="2"/>
  <c r="AI40" i="2" s="1" a="1"/>
  <c r="AI40" i="2" s="1"/>
  <c r="M42" i="2"/>
  <c r="O35" i="2"/>
  <c r="O37" i="2"/>
  <c r="AK37" i="2" s="1" a="1"/>
  <c r="AK37" i="2" s="1"/>
  <c r="O39" i="2"/>
  <c r="O41" i="2"/>
  <c r="AK41" i="2" s="1" a="1"/>
  <c r="AK41" i="2" s="1"/>
  <c r="O44" i="2"/>
  <c r="P43" i="2"/>
  <c r="R36" i="2"/>
  <c r="AN36" i="2" s="1" a="1"/>
  <c r="AN36" i="2" s="1"/>
  <c r="R38" i="2"/>
  <c r="R40" i="2"/>
  <c r="AN40" i="2" s="1" a="1"/>
  <c r="AN40" i="2" s="1"/>
  <c r="R42" i="2"/>
  <c r="AN42" i="2" s="1" a="1"/>
  <c r="S35" i="2"/>
  <c r="S37" i="2"/>
  <c r="S39" i="2"/>
  <c r="AO39" i="2" s="1" a="1"/>
  <c r="AO39" i="2" s="1"/>
  <c r="S41" i="2"/>
  <c r="S44" i="2"/>
  <c r="AO44" i="2" s="1" a="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N6" i="1" a="1"/>
  <c r="N6" i="1" s="1"/>
  <c r="I6" i="1"/>
  <c r="I5" i="1"/>
  <c r="I4" i="1"/>
  <c r="I3" i="1"/>
  <c r="J32" i="1" s="1" a="1"/>
  <c r="J32" i="1" s="1"/>
  <c r="I2" i="1"/>
  <c r="G4" i="1" s="1" a="1"/>
  <c r="G4" i="1" s="1"/>
  <c r="I1" i="1"/>
  <c r="J39" i="1" s="1" a="1"/>
  <c r="J39" i="1" s="1"/>
  <c r="G1" i="1"/>
  <c r="B1" i="1"/>
  <c r="F58" i="2" a="1"/>
  <c r="O63" i="2" a="1"/>
  <c r="E60" i="2" a="1"/>
  <c r="O65" i="2" a="1"/>
  <c r="F63" i="2" a="1"/>
  <c r="O61" i="2" a="1"/>
  <c r="Q57" i="2" a="1"/>
  <c r="G66" i="2" a="1"/>
  <c r="J64" i="2" a="1"/>
  <c r="Q61" i="2" a="1"/>
  <c r="F61" i="2" a="1"/>
  <c r="Q64" i="2" a="1"/>
  <c r="K66" i="2" a="1"/>
  <c r="I60" i="2" a="1"/>
  <c r="J59" i="2" a="1"/>
  <c r="I55" i="2" a="1"/>
  <c r="L56" i="2" a="1"/>
  <c r="M60" i="2" a="1"/>
  <c r="N66" i="2" a="1"/>
  <c r="M58" i="2" a="1"/>
  <c r="O64" i="2" a="1"/>
  <c r="I61" i="2" a="1"/>
  <c r="K55" i="2" a="1"/>
  <c r="I66" i="2" a="1"/>
  <c r="O60" i="2" a="1"/>
  <c r="F57" i="2" a="1"/>
  <c r="J65" i="2" a="1"/>
  <c r="L62" i="2" a="1"/>
  <c r="L63" i="2" a="1"/>
  <c r="P56" i="2" a="1"/>
  <c r="P62" i="2" a="1"/>
  <c r="H61" i="2" a="1"/>
  <c r="F56" i="2" a="1"/>
  <c r="J61" i="2" a="1"/>
  <c r="Q63" i="2" a="1"/>
  <c r="N58" i="2" a="1"/>
  <c r="F62" i="2" a="1"/>
  <c r="L55" i="2" a="1"/>
  <c r="J62" i="2" a="1"/>
  <c r="G63" i="2" a="1"/>
  <c r="R62" i="2" a="1"/>
  <c r="P60" i="2" a="1"/>
  <c r="M57" i="2" a="1"/>
  <c r="K64" i="2" a="1"/>
  <c r="R55" i="2" a="1"/>
  <c r="E56" i="2" a="1"/>
  <c r="E66" i="2" a="1"/>
  <c r="G57" i="2" a="1"/>
  <c r="E61" i="2" a="1"/>
  <c r="P58" i="2" a="1"/>
  <c r="O57" i="2" a="1"/>
  <c r="F66" i="2" a="1"/>
  <c r="Q55" i="2" a="1"/>
  <c r="Q60" i="2" a="1"/>
  <c r="H59" i="2" a="1"/>
  <c r="K65" i="2" a="1"/>
  <c r="E65" i="2" a="1"/>
  <c r="L59" i="2" a="1"/>
  <c r="G59" i="2" a="1"/>
  <c r="H58" i="2" a="1"/>
  <c r="M63" i="2" a="1"/>
  <c r="J60" i="2" a="1"/>
  <c r="G61" i="2" a="1"/>
  <c r="J56" i="2" a="1"/>
  <c r="O62" i="2" a="1"/>
  <c r="J63" i="2" a="1"/>
  <c r="P55" i="2" a="1"/>
  <c r="M66" i="2" a="1"/>
  <c r="I58" i="2" a="1"/>
  <c r="G55" i="2" a="1"/>
  <c r="M61" i="2" a="1"/>
  <c r="H57" i="2" a="1"/>
  <c r="E58" i="2" a="1"/>
  <c r="P65" i="2" a="1"/>
  <c r="M56" i="2" a="1"/>
  <c r="P63" i="2" a="1"/>
  <c r="N59" i="2" a="1"/>
  <c r="H62" i="2" a="1"/>
  <c r="H60" i="2" a="1"/>
  <c r="R59" i="2" a="1"/>
  <c r="L66" i="2" a="1"/>
  <c r="J57" i="2" a="1"/>
  <c r="O55" i="2" a="1"/>
  <c r="N65" i="2" a="1"/>
  <c r="Q56" i="2" a="1"/>
  <c r="N64" i="2" a="1"/>
  <c r="J55" i="2" a="1"/>
  <c r="Q62" i="2" a="1"/>
  <c r="R60" i="2" a="1"/>
  <c r="K59" i="2" a="1"/>
  <c r="H64" i="2" a="1"/>
  <c r="L65" i="2" a="1"/>
  <c r="R57" i="2" a="1"/>
  <c r="F55" i="2" a="1"/>
  <c r="K58" i="2" a="1"/>
  <c r="H56" i="2" a="1"/>
  <c r="L64" i="2" a="1"/>
  <c r="O56" i="2" a="1"/>
  <c r="L61" i="2" a="1"/>
  <c r="G56" i="2" a="1"/>
  <c r="P59" i="2" a="1"/>
  <c r="R64" i="2" a="1"/>
  <c r="N55" i="2" a="1"/>
  <c r="G62" i="2" a="1"/>
  <c r="P64" i="2" a="1"/>
  <c r="K56" i="2" a="1"/>
  <c r="I56" i="2" a="1"/>
  <c r="R56" i="2" a="1"/>
  <c r="Q65" i="2" a="1"/>
  <c r="M59" i="2" a="1"/>
  <c r="F64" i="2" a="1"/>
  <c r="O66" i="2" a="1"/>
  <c r="O59" i="2" a="1"/>
  <c r="K57" i="2" a="1"/>
  <c r="H66" i="2" a="1"/>
  <c r="I63" i="2" a="1"/>
  <c r="O58" i="2" a="1"/>
  <c r="J66" i="2" a="1"/>
  <c r="L57" i="2" a="1"/>
  <c r="G64" i="2" a="1"/>
  <c r="K62" i="2" a="1"/>
  <c r="F59" i="2" a="1"/>
  <c r="J58" i="2" a="1"/>
  <c r="K60" i="2" a="1"/>
  <c r="R58" i="2" a="1"/>
  <c r="G60" i="2" a="1"/>
  <c r="R66" i="2" a="1"/>
  <c r="N57" i="2" a="1"/>
  <c r="M65" i="2" a="1"/>
  <c r="H55" i="2" a="1"/>
  <c r="R61" i="2" a="1"/>
  <c r="M64" i="2" a="1"/>
  <c r="H65" i="2" a="1"/>
  <c r="Q58" i="2" a="1"/>
  <c r="P57" i="2" a="1"/>
  <c r="Q66" i="2" a="1"/>
  <c r="N56" i="2" a="1"/>
  <c r="F60" i="2" a="1"/>
  <c r="G65" i="2" a="1"/>
  <c r="I59" i="2" a="1"/>
  <c r="L60" i="2" a="1"/>
  <c r="P66" i="2" a="1"/>
  <c r="Q59" i="2" a="1"/>
  <c r="E62" i="2" a="1"/>
  <c r="G58" i="2" a="1"/>
  <c r="N63" i="2" a="1"/>
  <c r="R65" i="2" a="1"/>
  <c r="N62" i="2" a="1"/>
  <c r="E59" i="2" a="1"/>
  <c r="H63" i="2" a="1"/>
  <c r="E64" i="2" a="1"/>
  <c r="K61" i="2" a="1"/>
  <c r="F65" i="2" a="1"/>
  <c r="E57" i="2" a="1"/>
  <c r="R63" i="2" a="1"/>
  <c r="K63" i="2" a="1"/>
  <c r="P61" i="2" a="1"/>
  <c r="L58" i="2" a="1"/>
  <c r="E63" i="2" a="1"/>
  <c r="I64" i="2" a="1"/>
  <c r="I65" i="2" a="1"/>
  <c r="E55" i="2" a="1"/>
  <c r="N61" i="2" a="1"/>
  <c r="M55" i="2" a="1"/>
  <c r="M62" i="2" a="1"/>
  <c r="I62" i="2" a="1"/>
  <c r="N60" i="2" a="1"/>
  <c r="I57" i="2" a="1"/>
  <c r="AD44" i="2" a="1"/>
  <c r="AI44" i="2" a="1"/>
  <c r="AJ42" i="2" a="1"/>
  <c r="AG42" i="2" a="1"/>
  <c r="AH42" i="2" a="1"/>
  <c r="AD42" i="2" a="1"/>
  <c r="AE42" i="2" a="1"/>
  <c r="AM43" i="2" a="1"/>
  <c r="AN43" i="2" a="1"/>
  <c r="AJ43" i="2" a="1"/>
  <c r="AL43" i="2" a="1"/>
  <c r="AH43" i="2" a="1"/>
  <c r="AI43" i="2" a="1"/>
  <c r="AF43" i="2" a="1"/>
  <c r="AJ44" i="2" a="1"/>
  <c r="AO43" i="2" a="1"/>
  <c r="AK42" i="2" a="1"/>
  <c r="AG41" i="2" a="1"/>
  <c r="AD40" i="2" a="1"/>
  <c r="AD35" i="2" a="1"/>
  <c r="I32" i="2" a="1"/>
  <c r="Q19" i="2" a="1"/>
  <c r="H27" i="2" a="1"/>
  <c r="S29" i="2" a="1"/>
  <c r="S20" i="2" a="1"/>
  <c r="R18" i="2" a="1"/>
  <c r="L32" i="2" a="1"/>
  <c r="F14" i="2" a="1"/>
  <c r="N28" i="2" a="1"/>
  <c r="H24" i="2" a="1"/>
  <c r="K20" i="2" a="1"/>
  <c r="F30" i="2" a="1"/>
  <c r="G18" i="2" a="1"/>
  <c r="N14" i="2" a="1"/>
  <c r="L15" i="2" a="1"/>
  <c r="J21" i="2" a="1"/>
  <c r="H14" i="2" a="1"/>
  <c r="J25" i="2" a="1"/>
  <c r="AD37" i="2" a="1"/>
  <c r="AB35" i="2" a="1"/>
  <c r="P28" i="2" a="1"/>
  <c r="R16" i="2" a="1"/>
  <c r="F32" i="2" a="1"/>
  <c r="I29" i="2" a="1"/>
  <c r="H20" i="2" a="1"/>
  <c r="Q26" i="2" a="1"/>
  <c r="AL35" i="2" a="1"/>
  <c r="Q32" i="2" a="1"/>
  <c r="N17" i="2" a="1"/>
  <c r="I22" i="2" a="1"/>
  <c r="R27" i="2" a="1"/>
  <c r="M14" i="2" a="1"/>
  <c r="M34" i="2" a="1"/>
  <c r="P32" i="2" a="1"/>
  <c r="N24" i="2" a="1"/>
  <c r="S26" i="2" a="1"/>
  <c r="J28" i="2" a="1"/>
  <c r="N34" i="2" a="1"/>
  <c r="H30" i="2" a="1"/>
  <c r="J23" i="2" a="1"/>
  <c r="Q34" i="2" a="1"/>
  <c r="G30" i="2" a="1"/>
  <c r="J22" i="2" a="1"/>
  <c r="I16" i="2" a="1"/>
  <c r="S28" i="2" a="1"/>
  <c r="N21" i="2" a="1"/>
  <c r="N18" i="2" a="1"/>
  <c r="M22" i="2" a="1"/>
  <c r="AH38" i="2" a="1"/>
  <c r="R34" i="2" a="1"/>
  <c r="O16" i="2" a="1"/>
  <c r="F22" i="2" a="1"/>
  <c r="I34" i="2" a="1"/>
  <c r="S19" i="2" a="1"/>
  <c r="G25" i="2" a="1"/>
  <c r="O14" i="2" a="1"/>
  <c r="AG38" i="2" a="1"/>
  <c r="AM38" i="2" a="1"/>
  <c r="AK35" i="2" a="1"/>
  <c r="O30" i="2" a="1"/>
  <c r="K25" i="2" a="1"/>
  <c r="H23" i="2" a="1"/>
  <c r="Q24" i="2" a="1"/>
  <c r="L21" i="2" a="1"/>
  <c r="S31" i="2" a="1"/>
  <c r="P30" i="2" a="1"/>
  <c r="N26" i="2" a="1"/>
  <c r="G15" i="2" a="1"/>
  <c r="N20" i="2" a="1"/>
  <c r="F33" i="2" a="1"/>
  <c r="H17" i="2" a="1"/>
  <c r="O26" i="2" a="1"/>
  <c r="L22" i="2" a="1"/>
  <c r="Q30" i="2" a="1"/>
  <c r="L14" i="2" a="1"/>
  <c r="R24" i="2" a="1"/>
  <c r="P27" i="2" a="1"/>
  <c r="O18" i="2" a="1"/>
  <c r="Q22" i="2" a="1"/>
  <c r="L19" i="2" a="1"/>
  <c r="N27" i="2" a="1"/>
  <c r="M18" i="2" a="1"/>
  <c r="AI38" i="2" a="1"/>
  <c r="G34" i="2" a="1"/>
  <c r="L23" i="2" a="1"/>
  <c r="M21" i="2" a="1"/>
  <c r="J27" i="2" a="1"/>
  <c r="G28" i="2" a="1"/>
  <c r="S18" i="2" a="1"/>
  <c r="Q16" i="2" a="1"/>
  <c r="G32" i="2" a="1"/>
  <c r="O33" i="2" a="1"/>
  <c r="J15" i="2" a="1"/>
  <c r="M25" i="2" a="1"/>
  <c r="N25" i="2" a="1"/>
  <c r="I23" i="2" a="1"/>
  <c r="AF42" i="2" a="1"/>
  <c r="AD39" i="2" a="1"/>
  <c r="J26" i="2" a="1"/>
  <c r="I19" i="2" a="1"/>
  <c r="Q33" i="2" a="1"/>
  <c r="J24" i="2" a="1"/>
  <c r="Q23" i="2" a="1"/>
  <c r="S24" i="2" a="1"/>
  <c r="K17" i="2" a="1"/>
  <c r="P24" i="2" a="1"/>
  <c r="K26" i="2" a="1"/>
  <c r="O17" i="2" a="1"/>
  <c r="P33" i="2" a="1"/>
  <c r="I20" i="2" a="1"/>
  <c r="G33" i="2" a="1"/>
  <c r="R21" i="2" a="1"/>
  <c r="F26" i="2" a="1"/>
  <c r="L28" i="2" a="1"/>
  <c r="AC44" i="2" a="1"/>
  <c r="AG43" i="2" a="1"/>
  <c r="AL42" i="2" a="1"/>
  <c r="AO41" i="2" a="1"/>
  <c r="AB38" i="2" a="1"/>
  <c r="AN39" i="2" a="1"/>
  <c r="G31" i="2" a="1"/>
  <c r="K29" i="2" a="1"/>
  <c r="P14" i="2" a="1"/>
  <c r="I21" i="2" a="1"/>
  <c r="M26" i="2" a="1"/>
  <c r="I33" i="2" a="1"/>
  <c r="I31" i="2" a="1"/>
  <c r="I15" i="2" a="1"/>
  <c r="G17" i="2" a="1"/>
  <c r="M24" i="2" a="1"/>
  <c r="P34" i="2" a="1"/>
  <c r="O27" i="2" a="1"/>
  <c r="I25" i="2" a="1"/>
  <c r="S33" i="2" a="1"/>
  <c r="P21" i="2" a="1"/>
  <c r="L30" i="2" a="1"/>
  <c r="I27" i="2" a="1"/>
  <c r="H22" i="2" a="1"/>
  <c r="M33" i="2" a="1"/>
  <c r="Q21" i="2" a="1"/>
  <c r="J18" i="2" a="1"/>
  <c r="N33" i="2" a="1"/>
  <c r="G24" i="2" a="1"/>
  <c r="O25" i="2" a="1"/>
  <c r="Q28" i="2" a="1"/>
  <c r="AL37" i="2" a="1"/>
  <c r="AF38" i="2" a="1"/>
  <c r="AJ35" i="2" a="1"/>
  <c r="R30" i="2" a="1"/>
  <c r="L27" i="2" a="1"/>
  <c r="L17" i="2" a="1"/>
  <c r="F23" i="2" a="1"/>
  <c r="P22" i="2" a="1"/>
  <c r="K32" i="2" a="1"/>
  <c r="F31" i="2" a="1"/>
  <c r="K27" i="2" a="1"/>
  <c r="I24" i="2" a="1"/>
  <c r="H15" i="2" a="1"/>
  <c r="H33" i="2" a="1"/>
  <c r="O22" i="2" a="1"/>
  <c r="F25" i="2" a="1"/>
  <c r="H32" i="2" a="1"/>
  <c r="G27" i="2" a="1"/>
  <c r="P16" i="2" a="1"/>
  <c r="G16" i="2" a="1"/>
  <c r="P17" i="2" a="1"/>
  <c r="L31" i="2" a="1"/>
  <c r="Q20" i="2" a="1"/>
  <c r="F17" i="2" a="1"/>
  <c r="S32" i="2" a="1"/>
  <c r="G26" i="2" a="1"/>
  <c r="R32" i="2" a="1"/>
  <c r="M15" i="2" a="1"/>
  <c r="AF37" i="2" a="1"/>
  <c r="S27" i="2" a="1"/>
  <c r="K18" i="2" a="1"/>
  <c r="L34" i="2" a="1"/>
  <c r="M16" i="2" a="1"/>
  <c r="O19" i="2" a="1"/>
  <c r="Q27" i="2" a="1"/>
  <c r="R28" i="2" a="1"/>
  <c r="K16" i="2" a="1"/>
  <c r="AK43" i="2" a="1"/>
  <c r="AJ41" i="2" a="1"/>
  <c r="L33" i="2" a="1"/>
  <c r="F19" i="2" a="1"/>
  <c r="M20" i="2" a="1"/>
  <c r="R31" i="2" a="1"/>
  <c r="H21" i="2" a="1"/>
  <c r="F21" i="2" a="1"/>
  <c r="J19" i="2" a="1"/>
  <c r="K31" i="2" a="1"/>
  <c r="AG37" i="2" a="1"/>
  <c r="P25" i="2" a="1"/>
  <c r="P23" i="2" a="1"/>
  <c r="L16" i="2" a="1"/>
  <c r="L24" i="2" a="1"/>
  <c r="AK44" i="2" a="1"/>
  <c r="AE43" i="2" a="1"/>
  <c r="AO42" i="2" a="1"/>
  <c r="AI42" i="2" a="1"/>
  <c r="AD41" i="2" a="1"/>
  <c r="AB37" i="2" a="1"/>
  <c r="AC38" i="2" a="1"/>
  <c r="F34" i="2" a="1"/>
  <c r="K30" i="2" a="1"/>
  <c r="R20" i="2" a="1"/>
  <c r="L18" i="2" a="1"/>
  <c r="K15" i="2" a="1"/>
  <c r="S25" i="2" a="1"/>
  <c r="N31" i="2" a="1"/>
  <c r="N30" i="2" a="1"/>
  <c r="K24" i="2" a="1"/>
  <c r="R22" i="2" a="1"/>
  <c r="O21" i="2" a="1"/>
  <c r="J33" i="2" a="1"/>
  <c r="R25" i="2" a="1"/>
  <c r="I17" i="2" a="1"/>
  <c r="L29" i="2" a="1"/>
  <c r="K22" i="2" a="1"/>
  <c r="R26" i="2" a="1"/>
  <c r="O20" i="2" a="1"/>
  <c r="G20" i="2" a="1"/>
  <c r="J31" i="2" a="1"/>
  <c r="S15" i="2" a="1"/>
  <c r="L20" i="2" a="1"/>
  <c r="Q31" i="2" a="1"/>
  <c r="O23" i="2" a="1"/>
  <c r="R33" i="2" a="1"/>
  <c r="J16" i="2" a="1"/>
  <c r="AC37" i="2" a="1"/>
  <c r="AK38" i="2" a="1"/>
  <c r="J34" i="2" a="1"/>
  <c r="M29" i="2" a="1"/>
  <c r="S21" i="2" a="1"/>
  <c r="G19" i="2" a="1"/>
  <c r="S17" i="2" a="1"/>
  <c r="H18" i="2" a="1"/>
  <c r="K34" i="2" a="1"/>
  <c r="Q29" i="2" a="1"/>
  <c r="N15" i="2" a="1"/>
  <c r="H19" i="2" a="1"/>
  <c r="P20" i="2" a="1"/>
  <c r="N32" i="2" a="1"/>
  <c r="P19" i="2" a="1"/>
  <c r="J17" i="2" a="1"/>
  <c r="O15" i="2" a="1"/>
  <c r="F20" i="2" a="1"/>
  <c r="M28" i="2" a="1"/>
  <c r="P29" i="2" a="1"/>
  <c r="F18" i="2" a="1"/>
  <c r="R14" i="2" a="1"/>
  <c r="M19" i="2" a="1"/>
  <c r="N23" i="2" a="1"/>
  <c r="AE37" i="2" a="1"/>
  <c r="J30" i="2" a="1"/>
  <c r="R23" i="2" a="1"/>
  <c r="S22" i="2" a="1"/>
  <c r="I30" i="2" a="1"/>
  <c r="Q17" i="2" a="1"/>
  <c r="J32" i="2" a="1"/>
  <c r="O24" i="2" a="1"/>
  <c r="AN38" i="2" a="1"/>
  <c r="O32" i="2" a="1"/>
  <c r="Q15" i="2" a="1"/>
  <c r="K28" i="2" a="1"/>
  <c r="N19" i="2" a="1"/>
  <c r="M17" i="2" a="1"/>
  <c r="S23" i="2" a="1"/>
  <c r="K33" i="2" a="1"/>
  <c r="I18" i="2" a="1"/>
  <c r="F29" i="2" a="1"/>
  <c r="P15" i="2" a="1"/>
  <c r="G21" i="2" a="1"/>
  <c r="H31" i="2" a="1"/>
  <c r="K23" i="2" a="1"/>
  <c r="O28" i="2" a="1"/>
  <c r="L26" i="2" a="1"/>
  <c r="O34" i="2" a="1"/>
  <c r="H29" i="2" a="1"/>
  <c r="G14" i="2" a="1"/>
  <c r="F27" i="2" a="1"/>
  <c r="I14" i="2" a="1"/>
  <c r="AN44" i="2" a="1"/>
  <c r="AM41" i="2" a="1"/>
  <c r="AL38" i="2" a="1"/>
  <c r="J14" i="2" a="1"/>
  <c r="R15" i="2" a="1"/>
  <c r="M27" i="2" a="1"/>
  <c r="R19" i="2" a="1"/>
  <c r="N29" i="2" a="1"/>
  <c r="H25" i="2" a="1"/>
  <c r="AE38" i="2" a="1"/>
  <c r="R17" i="2" a="1"/>
  <c r="S14" i="2" a="1"/>
  <c r="AM36" i="2" a="1"/>
  <c r="J20" i="2" a="1"/>
  <c r="J29" i="2" a="1"/>
  <c r="K19" i="2" a="1"/>
  <c r="H16" i="2" a="1"/>
  <c r="P31" i="2" a="1"/>
  <c r="Q25" i="2" a="1"/>
  <c r="F24" i="2" a="1"/>
  <c r="N16" i="2" a="1"/>
  <c r="R29" i="2" a="1"/>
  <c r="AI35" i="2" a="1"/>
  <c r="I26" i="2" a="1"/>
  <c r="N22" i="2" a="1"/>
  <c r="H28" i="2" a="1"/>
  <c r="M32" i="2" a="1"/>
  <c r="G22" i="2" a="1"/>
  <c r="AH35" i="2" a="1"/>
  <c r="AG44" i="2" a="1"/>
  <c r="AO35" i="2" a="1"/>
  <c r="S16" i="2" a="1"/>
  <c r="AM35" i="2" a="1"/>
  <c r="S34" i="2" a="1"/>
  <c r="L25" i="2" a="1"/>
  <c r="S30" i="2" a="1"/>
  <c r="F28" i="2" a="1"/>
  <c r="M30" i="2" a="1"/>
  <c r="M31" i="2" a="1"/>
  <c r="M23" i="2" a="1"/>
  <c r="K21" i="2" a="1"/>
  <c r="G29" i="2" a="1"/>
  <c r="P26" i="2" a="1"/>
  <c r="AC36" i="2" a="1"/>
  <c r="AF35" i="2" a="1"/>
  <c r="AM44" i="2" a="1"/>
  <c r="AG35" i="2" a="1"/>
  <c r="AJ36" i="2" a="1"/>
  <c r="P18" i="2" a="1"/>
  <c r="Q14" i="2" a="1"/>
  <c r="Q18" i="2" a="1"/>
  <c r="AO38" i="2" a="1"/>
  <c r="F15" i="2" a="1"/>
  <c r="AO37" i="2" a="1"/>
  <c r="K14" i="2" a="1"/>
  <c r="H34" i="2" a="1"/>
  <c r="H26" i="2" a="1"/>
  <c r="O29" i="2" a="1"/>
  <c r="I28" i="2" a="1"/>
  <c r="AE35" i="2" a="1"/>
  <c r="AN35" i="2" a="1"/>
  <c r="AK39" i="2" a="1"/>
  <c r="F16" i="2" a="1"/>
  <c r="O31" i="2" a="1"/>
  <c r="G23" i="2" a="1"/>
  <c r="U40" i="2" l="1"/>
  <c r="X40" i="2" s="1"/>
  <c r="AO44" i="2"/>
  <c r="AF44" i="2"/>
  <c r="AE44" i="2"/>
  <c r="AH44" i="2"/>
  <c r="AB44" i="2"/>
  <c r="AI44" i="2"/>
  <c r="AL44" i="2"/>
  <c r="AD44" i="2"/>
  <c r="AN42" i="2"/>
  <c r="AE42" i="2"/>
  <c r="AD42" i="2"/>
  <c r="AC42" i="2"/>
  <c r="AM42" i="2"/>
  <c r="AH42" i="2"/>
  <c r="AG42" i="2"/>
  <c r="AJ42" i="2"/>
  <c r="AF43" i="2"/>
  <c r="AI43" i="2"/>
  <c r="AH43" i="2"/>
  <c r="AL43" i="2"/>
  <c r="AD43" i="2"/>
  <c r="AC43" i="2"/>
  <c r="AJ43" i="2"/>
  <c r="AN43" i="2"/>
  <c r="AM43" i="2"/>
  <c r="AG44" i="2"/>
  <c r="AM44" i="2"/>
  <c r="AN44" i="2"/>
  <c r="AK44" i="2"/>
  <c r="AC44" i="2"/>
  <c r="AJ44" i="2"/>
  <c r="AG43" i="2"/>
  <c r="AO43" i="2"/>
  <c r="AK43" i="2"/>
  <c r="AE43" i="2"/>
  <c r="V43" i="2"/>
  <c r="U43" i="2"/>
  <c r="AI42" i="2"/>
  <c r="AL42" i="2"/>
  <c r="AK42" i="2"/>
  <c r="AF42" i="2"/>
  <c r="AO42" i="2"/>
  <c r="U42" i="2"/>
  <c r="V42" i="2"/>
  <c r="AJ41" i="2"/>
  <c r="AD41" i="2"/>
  <c r="AO41" i="2"/>
  <c r="AG41" i="2"/>
  <c r="AM41" i="2"/>
  <c r="AB41" i="2" a="1"/>
  <c r="AB41" i="2" s="1"/>
  <c r="V41" i="2"/>
  <c r="U41" i="2"/>
  <c r="AD40" i="2"/>
  <c r="AB40" i="2" a="1"/>
  <c r="AB40" i="2" s="1"/>
  <c r="V40" i="2"/>
  <c r="AO37" i="2"/>
  <c r="AO35" i="2"/>
  <c r="AO38" i="2"/>
  <c r="AK35" i="2"/>
  <c r="AJ35" i="2"/>
  <c r="AB35" i="2"/>
  <c r="AN39" i="2"/>
  <c r="AI35" i="2"/>
  <c r="AL35" i="2"/>
  <c r="AJ36" i="2"/>
  <c r="AD35" i="2"/>
  <c r="AN38" i="2"/>
  <c r="AG37" i="2"/>
  <c r="AE38" i="2"/>
  <c r="AL38" i="2"/>
  <c r="AF37" i="2"/>
  <c r="AK38" i="2"/>
  <c r="AE37" i="2"/>
  <c r="AC38" i="2"/>
  <c r="AM38" i="2"/>
  <c r="AF38" i="2"/>
  <c r="AK39" i="2"/>
  <c r="AG35" i="2"/>
  <c r="AM35" i="2"/>
  <c r="AF35" i="2"/>
  <c r="AN35" i="2"/>
  <c r="AE35" i="2"/>
  <c r="AC36" i="2"/>
  <c r="AM36" i="2"/>
  <c r="AH35" i="2"/>
  <c r="AD39" i="2"/>
  <c r="AI38" i="2"/>
  <c r="AC37" i="2"/>
  <c r="AH38" i="2"/>
  <c r="AB37" i="2"/>
  <c r="AG38" i="2"/>
  <c r="AL37" i="2"/>
  <c r="AD37" i="2"/>
  <c r="AB38" i="2"/>
  <c r="P35" i="11"/>
  <c r="P36" i="20"/>
  <c r="P36" i="11"/>
  <c r="P42" i="20"/>
  <c r="P42" i="11"/>
  <c r="P41" i="20"/>
  <c r="P41" i="11"/>
  <c r="P38" i="20"/>
  <c r="P38" i="11"/>
  <c r="P35" i="20"/>
  <c r="P43" i="20"/>
  <c r="P34" i="20"/>
  <c r="P43" i="11"/>
  <c r="P34" i="11"/>
  <c r="P39" i="20"/>
  <c r="P39" i="11"/>
  <c r="P40" i="20"/>
  <c r="P40" i="11"/>
  <c r="P37" i="20"/>
  <c r="P37" i="11"/>
  <c r="U44" i="2"/>
  <c r="V44" i="2"/>
  <c r="V39" i="2"/>
  <c r="U39" i="2"/>
  <c r="X39" i="2" s="1"/>
  <c r="V38" i="2"/>
  <c r="U38" i="2"/>
  <c r="X38" i="2" s="1"/>
  <c r="V37" i="2"/>
  <c r="U37" i="2"/>
  <c r="X37" i="2" s="1"/>
  <c r="V36" i="2"/>
  <c r="U36" i="2"/>
  <c r="X36" i="2" s="1"/>
  <c r="K16" i="2"/>
  <c r="F21" i="2"/>
  <c r="AB21" i="2" s="1" a="1"/>
  <c r="AB21" i="2" s="1"/>
  <c r="N23" i="2"/>
  <c r="AJ23" i="2" s="1" a="1"/>
  <c r="AJ23" i="2" s="1"/>
  <c r="F18" i="2"/>
  <c r="AB18" i="2" s="1" a="1"/>
  <c r="AB18" i="2" s="1"/>
  <c r="I28" i="2"/>
  <c r="P27" i="9" s="1"/>
  <c r="G20" i="2"/>
  <c r="AC20" i="2" s="1" a="1"/>
  <c r="AC20" i="2" s="1"/>
  <c r="J15" i="2"/>
  <c r="P17" i="2"/>
  <c r="AL17" i="2" s="1" a="1"/>
  <c r="AL17" i="2" s="1"/>
  <c r="P26" i="2"/>
  <c r="H22" i="2"/>
  <c r="AD22" i="2" s="1" a="1"/>
  <c r="AD22" i="2" s="1"/>
  <c r="F17" i="2"/>
  <c r="AB17" i="2" s="1" a="1"/>
  <c r="AB17" i="2" s="1"/>
  <c r="S28" i="2"/>
  <c r="AO28" i="2" s="1" a="1"/>
  <c r="AO28" i="2" s="1"/>
  <c r="I23" i="2"/>
  <c r="AE23" i="2" s="1" a="1"/>
  <c r="AE23" i="2" s="1"/>
  <c r="J25" i="2"/>
  <c r="AF25" i="2" s="1" a="1"/>
  <c r="AF25" i="2" s="1"/>
  <c r="Q30" i="2"/>
  <c r="Q18" i="2"/>
  <c r="O18" i="2"/>
  <c r="AK18" i="2" s="1" a="1"/>
  <c r="AK18" i="2" s="1"/>
  <c r="K17" i="2"/>
  <c r="AG17" i="2" s="1" a="1"/>
  <c r="AG17" i="2" s="1"/>
  <c r="M22" i="2"/>
  <c r="AI22" i="2" s="1" a="1"/>
  <c r="AI22" i="2" s="1"/>
  <c r="P29" i="2"/>
  <c r="AL29" i="2" s="1" a="1"/>
  <c r="AL29" i="2" s="1"/>
  <c r="G14" i="2"/>
  <c r="AC14" i="2" s="1" a="1"/>
  <c r="AC14" i="2" s="1"/>
  <c r="O20" i="2"/>
  <c r="Q14" i="2"/>
  <c r="G16" i="2"/>
  <c r="H29" i="2"/>
  <c r="AD29" i="2" s="1" a="1"/>
  <c r="AD29" i="2" s="1"/>
  <c r="I27" i="2"/>
  <c r="AE27" i="2" s="1" a="1"/>
  <c r="AE27" i="2" s="1"/>
  <c r="S30" i="2"/>
  <c r="AO30" i="2" s="1" a="1"/>
  <c r="AO30" i="2" s="1"/>
  <c r="I16" i="2"/>
  <c r="Q22" i="2"/>
  <c r="AM22" i="2" s="1" a="1"/>
  <c r="AM22" i="2" s="1"/>
  <c r="H14" i="2"/>
  <c r="AD14" i="2" s="1" a="1"/>
  <c r="AD14" i="2" s="1"/>
  <c r="L26" i="2"/>
  <c r="L25" i="2"/>
  <c r="AH25" i="2" s="1" a="1"/>
  <c r="AH25" i="2" s="1"/>
  <c r="G23" i="2"/>
  <c r="AC23" i="2" s="1" a="1"/>
  <c r="AC23" i="2" s="1"/>
  <c r="S24" i="2"/>
  <c r="AO24" i="2" s="1" a="1"/>
  <c r="AO24" i="2" s="1"/>
  <c r="M19" i="2"/>
  <c r="M28" i="2"/>
  <c r="AI28" i="2" s="1" a="1"/>
  <c r="AI28" i="2" s="1"/>
  <c r="M25" i="2"/>
  <c r="AI25" i="2" s="1" a="1"/>
  <c r="AI25" i="2" s="1"/>
  <c r="R26" i="2"/>
  <c r="Q20" i="2"/>
  <c r="AM20" i="2" s="1" a="1"/>
  <c r="AM20" i="2" s="1"/>
  <c r="P16" i="2"/>
  <c r="R28" i="2"/>
  <c r="AN28" i="2" s="1" a="1"/>
  <c r="AN28" i="2" s="1"/>
  <c r="L30" i="2"/>
  <c r="AH30" i="2" s="1" a="1"/>
  <c r="AH30" i="2" s="1"/>
  <c r="Q27" i="2"/>
  <c r="AM27" i="2" s="1" a="1"/>
  <c r="AM27" i="2" s="1"/>
  <c r="J22" i="2"/>
  <c r="AF22" i="2" s="1" a="1"/>
  <c r="AF22" i="2" s="1"/>
  <c r="G22" i="2"/>
  <c r="J21" i="2"/>
  <c r="N18" i="2"/>
  <c r="AJ18" i="2" s="1" a="1"/>
  <c r="AJ18" i="2" s="1"/>
  <c r="Q25" i="2"/>
  <c r="F27" i="2"/>
  <c r="H25" i="2"/>
  <c r="AD25" i="2" s="1" a="1"/>
  <c r="AD25" i="2" s="1"/>
  <c r="L22" i="2"/>
  <c r="AH22" i="2" s="1" a="1"/>
  <c r="AH22" i="2" s="1"/>
  <c r="F20" i="2"/>
  <c r="AB20" i="2" s="1" a="1"/>
  <c r="AB20" i="2" s="1"/>
  <c r="R24" i="2"/>
  <c r="K22" i="2"/>
  <c r="F24" i="2"/>
  <c r="AB24" i="2" s="1" a="1"/>
  <c r="AB24" i="2" s="1"/>
  <c r="G27" i="2"/>
  <c r="L14" i="2"/>
  <c r="AH14" i="2" s="1" a="1"/>
  <c r="AH14" i="2" s="1"/>
  <c r="P21" i="2"/>
  <c r="O29" i="2"/>
  <c r="G30" i="2"/>
  <c r="AC30" i="2" s="1" a="1"/>
  <c r="AC30" i="2" s="1"/>
  <c r="I14" i="2"/>
  <c r="AE14" i="2" s="1" a="1"/>
  <c r="AE14" i="2" s="1"/>
  <c r="L15" i="2"/>
  <c r="AH15" i="2" s="1" a="1"/>
  <c r="AH15" i="2" s="1"/>
  <c r="R14" i="2"/>
  <c r="L28" i="2"/>
  <c r="AH28" i="2" s="1" a="1"/>
  <c r="AH28" i="2" s="1"/>
  <c r="N25" i="2"/>
  <c r="AJ25" i="2" s="1" a="1"/>
  <c r="AJ25" i="2" s="1"/>
  <c r="H21" i="2"/>
  <c r="O28" i="2"/>
  <c r="AK28" i="2" s="1" a="1"/>
  <c r="AK28" i="2" s="1"/>
  <c r="O15" i="2"/>
  <c r="AK15" i="2" s="1" a="1"/>
  <c r="AK15" i="2" s="1"/>
  <c r="P27" i="2"/>
  <c r="L29" i="2"/>
  <c r="AH29" i="2" s="1" a="1"/>
  <c r="AH29" i="2" s="1"/>
  <c r="L31" i="2"/>
  <c r="H32" i="2"/>
  <c r="AD32" i="2" s="1" a="1"/>
  <c r="AD32" i="2" s="1"/>
  <c r="M32" i="2"/>
  <c r="AI32" i="2" s="1" a="1"/>
  <c r="AI32" i="2" s="1"/>
  <c r="S33" i="2"/>
  <c r="AO33" i="2" s="1" a="1"/>
  <c r="AO33" i="2" s="1"/>
  <c r="O33" i="2"/>
  <c r="AK33" i="2" s="1" a="1"/>
  <c r="AK33" i="2" s="1"/>
  <c r="Q34" i="2"/>
  <c r="AM34" i="2" s="1" a="1"/>
  <c r="AM34" i="2" s="1"/>
  <c r="O34" i="2"/>
  <c r="N14" i="2"/>
  <c r="AJ14" i="2" s="1" a="1"/>
  <c r="AJ14" i="2" s="1"/>
  <c r="N21" i="2"/>
  <c r="AJ21" i="2" s="1" a="1"/>
  <c r="AJ21" i="2" s="1"/>
  <c r="L24" i="2"/>
  <c r="AH24" i="2" s="1" a="1"/>
  <c r="AH24" i="2" s="1"/>
  <c r="O17" i="2"/>
  <c r="Q23" i="2"/>
  <c r="AM23" i="2" s="1" a="1"/>
  <c r="AM23" i="2" s="1"/>
  <c r="O26" i="2"/>
  <c r="J17" i="2"/>
  <c r="AF17" i="2" s="1" a="1"/>
  <c r="AF17" i="2" s="1"/>
  <c r="O24" i="2"/>
  <c r="AK24" i="2" s="1" a="1"/>
  <c r="AK24" i="2" s="1"/>
  <c r="I17" i="2"/>
  <c r="AE17" i="2" s="1" a="1"/>
  <c r="AE17" i="2" s="1"/>
  <c r="S16" i="2"/>
  <c r="AO16" i="2" s="1" a="1"/>
  <c r="AO16" i="2" s="1"/>
  <c r="F25" i="2"/>
  <c r="AB25" i="2" s="1" a="1"/>
  <c r="AB25" i="2" s="1"/>
  <c r="J16" i="2"/>
  <c r="P15" i="10" s="1"/>
  <c r="I25" i="2"/>
  <c r="AE25" i="2" s="1" a="1"/>
  <c r="AE25" i="2" s="1"/>
  <c r="G29" i="2"/>
  <c r="AC29" i="2" s="1" a="1"/>
  <c r="AC29" i="2" s="1"/>
  <c r="J23" i="2"/>
  <c r="AF23" i="2" s="1" a="1"/>
  <c r="AF23" i="2" s="1"/>
  <c r="M18" i="2"/>
  <c r="G18" i="2"/>
  <c r="K23" i="2"/>
  <c r="AG23" i="2" s="1" a="1"/>
  <c r="AG23" i="2" s="1"/>
  <c r="F26" i="2"/>
  <c r="Q28" i="2"/>
  <c r="AM28" i="2" s="1" a="1"/>
  <c r="AM28" i="2" s="1"/>
  <c r="N29" i="2"/>
  <c r="O19" i="2"/>
  <c r="AK19" i="2" s="1" a="1"/>
  <c r="AK19" i="2" s="1"/>
  <c r="P19" i="2"/>
  <c r="AL19" i="2" s="1" a="1"/>
  <c r="AL19" i="2" s="1"/>
  <c r="O14" i="2"/>
  <c r="AK14" i="2" s="1" a="1"/>
  <c r="AK14" i="2" s="1"/>
  <c r="R25" i="2"/>
  <c r="AN25" i="2" s="1" a="1"/>
  <c r="AN25" i="2" s="1"/>
  <c r="H17" i="2"/>
  <c r="AD17" i="2" s="1" a="1"/>
  <c r="AD17" i="2" s="1"/>
  <c r="O22" i="2"/>
  <c r="AK22" i="2" s="1" a="1"/>
  <c r="AK22" i="2" s="1"/>
  <c r="Q26" i="2"/>
  <c r="AM26" i="2" s="1" a="1"/>
  <c r="AM26" i="2" s="1"/>
  <c r="O27" i="2"/>
  <c r="AK27" i="2" s="1" a="1"/>
  <c r="AK27" i="2" s="1"/>
  <c r="H28" i="2"/>
  <c r="H30" i="2"/>
  <c r="AD30" i="2" s="1" a="1"/>
  <c r="AD30" i="2" s="1"/>
  <c r="M30" i="2"/>
  <c r="AI30" i="2" s="1" a="1"/>
  <c r="AI30" i="2" s="1"/>
  <c r="F30" i="2"/>
  <c r="AB30" i="2" s="1" a="1"/>
  <c r="AB30" i="2" s="1"/>
  <c r="H31" i="2"/>
  <c r="P31" i="2"/>
  <c r="K31" i="2"/>
  <c r="AG31" i="2" s="1" a="1"/>
  <c r="AG31" i="2" s="1"/>
  <c r="R31" i="2"/>
  <c r="G32" i="2"/>
  <c r="N32" i="2"/>
  <c r="AJ32" i="2" s="1" a="1"/>
  <c r="AJ32" i="2" s="1"/>
  <c r="J32" i="2"/>
  <c r="AF32" i="2" s="1" a="1"/>
  <c r="AF32" i="2" s="1"/>
  <c r="J33" i="2"/>
  <c r="AF33" i="2" s="1" a="1"/>
  <c r="AF33" i="2" s="1"/>
  <c r="F33" i="2"/>
  <c r="H33" i="2"/>
  <c r="AD33" i="2" s="1" a="1"/>
  <c r="AD33" i="2" s="1"/>
  <c r="R33" i="2"/>
  <c r="AN33" i="2" s="1" a="1"/>
  <c r="AN33" i="2" s="1"/>
  <c r="P34" i="2"/>
  <c r="AL34" i="2" s="1" a="1"/>
  <c r="AL34" i="2" s="1"/>
  <c r="S34" i="2"/>
  <c r="AO34" i="2" s="1" a="1"/>
  <c r="AO34" i="2" s="1"/>
  <c r="N34" i="2"/>
  <c r="AJ34" i="2" s="1" a="1"/>
  <c r="AJ34" i="2" s="1"/>
  <c r="M15" i="2"/>
  <c r="AI15" i="2" s="1" a="1"/>
  <c r="AI15" i="2" s="1"/>
  <c r="K20" i="2"/>
  <c r="G21" i="2"/>
  <c r="AC21" i="2" s="1" a="1"/>
  <c r="AC21" i="2" s="1"/>
  <c r="L16" i="2"/>
  <c r="AH16" i="2" s="1" a="1"/>
  <c r="AH16" i="2" s="1"/>
  <c r="O25" i="2"/>
  <c r="AK25" i="2" s="1" a="1"/>
  <c r="AK25" i="2" s="1"/>
  <c r="J24" i="2"/>
  <c r="AF24" i="2" s="1" a="1"/>
  <c r="AF24" i="2" s="1"/>
  <c r="Q16" i="2"/>
  <c r="P20" i="2"/>
  <c r="G25" i="2"/>
  <c r="AC25" i="2" s="1" a="1"/>
  <c r="AC25" i="2" s="1"/>
  <c r="O21" i="2"/>
  <c r="AK21" i="2" s="1" a="1"/>
  <c r="AK21" i="2" s="1"/>
  <c r="N20" i="2"/>
  <c r="H15" i="2"/>
  <c r="AD15" i="2" s="1" a="1"/>
  <c r="AD15" i="2" s="1"/>
  <c r="H20" i="2"/>
  <c r="AD20" i="2" s="1" a="1"/>
  <c r="AD20" i="2" s="1"/>
  <c r="M24" i="2"/>
  <c r="AI24" i="2" s="1" a="1"/>
  <c r="AI24" i="2" s="1"/>
  <c r="H26" i="2"/>
  <c r="J28" i="2"/>
  <c r="AF28" i="2" s="1" a="1"/>
  <c r="AF28" i="2" s="1"/>
  <c r="R29" i="2"/>
  <c r="AN29" i="2" s="1" a="1"/>
  <c r="AN29" i="2" s="1"/>
  <c r="H24" i="2"/>
  <c r="AD24" i="2" s="1" a="1"/>
  <c r="AD24" i="2" s="1"/>
  <c r="P15" i="2"/>
  <c r="R21" i="2"/>
  <c r="AN21" i="2" s="1" a="1"/>
  <c r="AN21" i="2" s="1"/>
  <c r="S14" i="2"/>
  <c r="AO14" i="2" s="1" a="1"/>
  <c r="AO14" i="2" s="1"/>
  <c r="R19" i="2"/>
  <c r="AN19" i="2" s="1" a="1"/>
  <c r="AN19" i="2" s="1"/>
  <c r="M16" i="2"/>
  <c r="AI16" i="2" s="1" a="1"/>
  <c r="AI16" i="2" s="1"/>
  <c r="H19" i="2"/>
  <c r="AD19" i="2" s="1" a="1"/>
  <c r="AD19" i="2" s="1"/>
  <c r="Q17" i="2"/>
  <c r="R22" i="2"/>
  <c r="G15" i="2"/>
  <c r="AC15" i="2" s="1" a="1"/>
  <c r="AC15" i="2" s="1"/>
  <c r="I24" i="2"/>
  <c r="AE24" i="2" s="1" a="1"/>
  <c r="AE24" i="2" s="1"/>
  <c r="O23" i="2"/>
  <c r="AK23" i="2" s="1" a="1"/>
  <c r="AK23" i="2" s="1"/>
  <c r="G17" i="2"/>
  <c r="AC17" i="2" s="1" a="1"/>
  <c r="AC17" i="2" s="1"/>
  <c r="K21" i="2"/>
  <c r="AG21" i="2" s="1" a="1"/>
  <c r="AG21" i="2" s="1"/>
  <c r="S26" i="2"/>
  <c r="N27" i="2"/>
  <c r="N28" i="2"/>
  <c r="AJ28" i="2" s="1" a="1"/>
  <c r="AJ28" i="2" s="1"/>
  <c r="F29" i="2"/>
  <c r="AB29" i="2" s="1" a="1"/>
  <c r="AB29" i="2" s="1"/>
  <c r="H16" i="2"/>
  <c r="G24" i="2"/>
  <c r="AC24" i="2" s="1" a="1"/>
  <c r="AC24" i="2" s="1"/>
  <c r="M20" i="2"/>
  <c r="S18" i="2"/>
  <c r="N15" i="2"/>
  <c r="AJ15" i="2" s="1" a="1"/>
  <c r="AJ15" i="2" s="1"/>
  <c r="S19" i="2"/>
  <c r="K24" i="2"/>
  <c r="AG24" i="2" s="1" a="1"/>
  <c r="AG24" i="2" s="1"/>
  <c r="N26" i="2"/>
  <c r="K27" i="2"/>
  <c r="AG27" i="2" s="1" a="1"/>
  <c r="AG27" i="2" s="1"/>
  <c r="I29" i="2"/>
  <c r="AE29" i="2" s="1" a="1"/>
  <c r="AE29" i="2" s="1"/>
  <c r="I15" i="2"/>
  <c r="AE15" i="2" s="1" a="1"/>
  <c r="AE15" i="2" s="1"/>
  <c r="N22" i="2"/>
  <c r="N24" i="2"/>
  <c r="AJ24" i="2" s="1" a="1"/>
  <c r="AJ24" i="2" s="1"/>
  <c r="F16" i="2"/>
  <c r="AB16" i="2" s="1" a="1"/>
  <c r="AB16" i="2" s="1"/>
  <c r="F14" i="2"/>
  <c r="AB14" i="2" s="1" a="1"/>
  <c r="AB14" i="2" s="1"/>
  <c r="I18" i="2"/>
  <c r="AE18" i="2" s="1" a="1"/>
  <c r="AE18" i="2" s="1"/>
  <c r="P23" i="2"/>
  <c r="AL23" i="2" s="1" a="1"/>
  <c r="AL23" i="2" s="1"/>
  <c r="K26" i="2"/>
  <c r="M27" i="2"/>
  <c r="AI27" i="2" s="1" a="1"/>
  <c r="AI27" i="2" s="1"/>
  <c r="G28" i="2"/>
  <c r="Q29" i="2"/>
  <c r="AM29" i="2" s="1" a="1"/>
  <c r="AM29" i="2" s="1"/>
  <c r="I30" i="2"/>
  <c r="AE30" i="2" s="1" a="1"/>
  <c r="AE30" i="2" s="1"/>
  <c r="N30" i="2"/>
  <c r="AJ30" i="2" s="1" a="1"/>
  <c r="AJ30" i="2" s="1"/>
  <c r="P30" i="2"/>
  <c r="F31" i="2"/>
  <c r="Q31" i="2"/>
  <c r="AM31" i="2" s="1" a="1"/>
  <c r="AM31" i="2" s="1"/>
  <c r="I31" i="2"/>
  <c r="AE31" i="2" s="1" a="1"/>
  <c r="AE31" i="2" s="1"/>
  <c r="O31" i="2"/>
  <c r="P32" i="2"/>
  <c r="AL32" i="2" s="1" a="1"/>
  <c r="AL32" i="2" s="1"/>
  <c r="R32" i="2"/>
  <c r="AN32" i="2" s="1" a="1"/>
  <c r="AN32" i="2" s="1"/>
  <c r="L32" i="2"/>
  <c r="AH32" i="2" s="1" a="1"/>
  <c r="AH32" i="2" s="1"/>
  <c r="K33" i="2"/>
  <c r="AG33" i="2" s="1" a="1"/>
  <c r="AG33" i="2" s="1"/>
  <c r="G33" i="2"/>
  <c r="AC33" i="2" s="1" a="1"/>
  <c r="AC33" i="2" s="1"/>
  <c r="N33" i="2"/>
  <c r="AJ33" i="2" s="1" a="1"/>
  <c r="AJ33" i="2" s="1"/>
  <c r="Q33" i="2"/>
  <c r="AM33" i="2" s="1" a="1"/>
  <c r="AM33" i="2" s="1"/>
  <c r="L34" i="2"/>
  <c r="AH34" i="2" s="1" a="1"/>
  <c r="AH34" i="2" s="1"/>
  <c r="K34" i="2"/>
  <c r="AG34" i="2" s="1" a="1"/>
  <c r="AG34" i="2" s="1"/>
  <c r="I34" i="2"/>
  <c r="AE34" i="2" s="1" a="1"/>
  <c r="AE34" i="2" s="1"/>
  <c r="N31" i="2"/>
  <c r="S31" i="2"/>
  <c r="K32" i="2"/>
  <c r="AG32" i="2" s="1" a="1"/>
  <c r="AG32" i="2" s="1"/>
  <c r="F32" i="2"/>
  <c r="AB32" i="2" s="1" a="1"/>
  <c r="AB32" i="2" s="1"/>
  <c r="I33" i="2"/>
  <c r="AE33" i="2" s="1" a="1"/>
  <c r="AE33" i="2" s="1"/>
  <c r="H34" i="2"/>
  <c r="AD34" i="2" s="1" a="1"/>
  <c r="AD34" i="2" s="1"/>
  <c r="M34" i="2"/>
  <c r="F15" i="2"/>
  <c r="R18" i="2"/>
  <c r="AN18" i="2" s="1" a="1"/>
  <c r="AN18" i="2" s="1"/>
  <c r="S23" i="2"/>
  <c r="AO23" i="2" s="1" a="1"/>
  <c r="AO23" i="2" s="1"/>
  <c r="K19" i="2"/>
  <c r="AG19" i="2" s="1" a="1"/>
  <c r="AG19" i="2" s="1"/>
  <c r="J19" i="2"/>
  <c r="AF19" i="2" s="1" a="1"/>
  <c r="AF19" i="2" s="1"/>
  <c r="F19" i="2"/>
  <c r="J27" i="2"/>
  <c r="AF27" i="2" s="1" a="1"/>
  <c r="AF27" i="2" s="1"/>
  <c r="H18" i="2"/>
  <c r="AD18" i="2" s="1" a="1"/>
  <c r="AD18" i="2" s="1"/>
  <c r="S22" i="2"/>
  <c r="AO22" i="2" s="1" a="1"/>
  <c r="AO22" i="2" s="1"/>
  <c r="S25" i="2"/>
  <c r="AO25" i="2" s="1" a="1"/>
  <c r="AO25" i="2" s="1"/>
  <c r="L21" i="2"/>
  <c r="AH21" i="2" s="1" a="1"/>
  <c r="AH21" i="2" s="1"/>
  <c r="P22" i="2"/>
  <c r="L20" i="2"/>
  <c r="AH20" i="2" s="1" a="1"/>
  <c r="AH20" i="2" s="1"/>
  <c r="M26" i="2"/>
  <c r="AI26" i="2" s="1" a="1"/>
  <c r="AI26" i="2" s="1"/>
  <c r="M23" i="2"/>
  <c r="AI23" i="2" s="1" a="1"/>
  <c r="AI23" i="2" s="1"/>
  <c r="M14" i="2"/>
  <c r="AI14" i="2" s="1" a="1"/>
  <c r="AI14" i="2" s="1"/>
  <c r="L19" i="2"/>
  <c r="AH19" i="2" s="1" a="1"/>
  <c r="AH19" i="2" s="1"/>
  <c r="S20" i="2"/>
  <c r="M17" i="2"/>
  <c r="AI17" i="2" s="1" a="1"/>
  <c r="AI17" i="2" s="1"/>
  <c r="P25" i="2"/>
  <c r="AL25" i="2" s="1" a="1"/>
  <c r="AL25" i="2" s="1"/>
  <c r="J18" i="2"/>
  <c r="AF18" i="2" s="1" a="1"/>
  <c r="AF18" i="2" s="1"/>
  <c r="R15" i="2"/>
  <c r="K18" i="2"/>
  <c r="AG18" i="2" s="1" a="1"/>
  <c r="AG18" i="2" s="1"/>
  <c r="S17" i="2"/>
  <c r="AO17" i="2" s="1" a="1"/>
  <c r="AO17" i="2" s="1"/>
  <c r="F22" i="2"/>
  <c r="AB22" i="2" s="1" a="1"/>
  <c r="AB22" i="2" s="1"/>
  <c r="K15" i="2"/>
  <c r="AG15" i="2" s="1" a="1"/>
  <c r="AG15" i="2" s="1"/>
  <c r="Q24" i="2"/>
  <c r="AM24" i="2" s="1" a="1"/>
  <c r="AM24" i="2" s="1"/>
  <c r="F23" i="2"/>
  <c r="AB23" i="2" s="1" a="1"/>
  <c r="AB23" i="2" s="1"/>
  <c r="R16" i="2"/>
  <c r="I21" i="2"/>
  <c r="AE21" i="2" s="1" a="1"/>
  <c r="AE21" i="2" s="1"/>
  <c r="I26" i="2"/>
  <c r="AE26" i="2" s="1" a="1"/>
  <c r="AE26" i="2" s="1"/>
  <c r="R27" i="2"/>
  <c r="AN27" i="2" s="1" a="1"/>
  <c r="AN27" i="2" s="1"/>
  <c r="F28" i="2"/>
  <c r="AB28" i="2" s="1" a="1"/>
  <c r="AB28" i="2" s="1"/>
  <c r="S29" i="2"/>
  <c r="N19" i="2"/>
  <c r="AJ19" i="2" s="1" a="1"/>
  <c r="AJ19" i="2" s="1"/>
  <c r="I20" i="2"/>
  <c r="R17" i="2"/>
  <c r="AN17" i="2" s="1" a="1"/>
  <c r="AN17" i="2" s="1"/>
  <c r="I19" i="2"/>
  <c r="M21" i="2"/>
  <c r="AI21" i="2" s="1" a="1"/>
  <c r="AI21" i="2" s="1"/>
  <c r="G19" i="2"/>
  <c r="R23" i="2"/>
  <c r="AN23" i="2" s="1" a="1"/>
  <c r="AN23" i="2" s="1"/>
  <c r="L18" i="2"/>
  <c r="AH18" i="2" s="1" a="1"/>
  <c r="AH18" i="2" s="1"/>
  <c r="H23" i="2"/>
  <c r="AD23" i="2" s="1" a="1"/>
  <c r="AD23" i="2" s="1"/>
  <c r="L17" i="2"/>
  <c r="AH17" i="2" s="1" a="1"/>
  <c r="AH17" i="2" s="1"/>
  <c r="S15" i="2"/>
  <c r="P14" i="2"/>
  <c r="AL14" i="2" s="1" a="1"/>
  <c r="AL14" i="2" s="1"/>
  <c r="P18" i="2"/>
  <c r="I22" i="2"/>
  <c r="AE22" i="2" s="1" a="1"/>
  <c r="AE22" i="2" s="1"/>
  <c r="G26" i="2"/>
  <c r="AC26" i="2" s="1" a="1"/>
  <c r="AC26" i="2" s="1"/>
  <c r="H27" i="2"/>
  <c r="AD27" i="2" s="1" a="1"/>
  <c r="AD27" i="2" s="1"/>
  <c r="K28" i="2"/>
  <c r="J29" i="2"/>
  <c r="AF29" i="2" s="1" a="1"/>
  <c r="AF29" i="2" s="1"/>
  <c r="Q21" i="2"/>
  <c r="AM21" i="2" s="1" a="1"/>
  <c r="AM21" i="2" s="1"/>
  <c r="J14" i="2"/>
  <c r="AF14" i="2" s="1" a="1"/>
  <c r="AF14" i="2" s="1"/>
  <c r="L23" i="2"/>
  <c r="AH23" i="2" s="1" a="1"/>
  <c r="AH23" i="2" s="1"/>
  <c r="S21" i="2"/>
  <c r="AO21" i="2" s="1" a="1"/>
  <c r="AO21" i="2" s="1"/>
  <c r="O16" i="2"/>
  <c r="AK16" i="2" s="1" a="1"/>
  <c r="AK16" i="2" s="1"/>
  <c r="R20" i="2"/>
  <c r="AN20" i="2" s="1" a="1"/>
  <c r="AN20" i="2" s="1"/>
  <c r="K25" i="2"/>
  <c r="AG25" i="2" s="1" a="1"/>
  <c r="AG25" i="2" s="1"/>
  <c r="L27" i="2"/>
  <c r="AH27" i="2" s="1" a="1"/>
  <c r="AH27" i="2" s="1"/>
  <c r="P28" i="2"/>
  <c r="K29" i="2"/>
  <c r="AG29" i="2" s="1" a="1"/>
  <c r="AG29" i="2" s="1"/>
  <c r="K14" i="2"/>
  <c r="AG14" i="2" s="1" a="1"/>
  <c r="AG14" i="2" s="1"/>
  <c r="N17" i="2"/>
  <c r="AJ17" i="2" s="1" a="1"/>
  <c r="AJ17" i="2" s="1"/>
  <c r="N16" i="2"/>
  <c r="AJ16" i="2" s="1" a="1"/>
  <c r="AJ16" i="2" s="1"/>
  <c r="Q19" i="2"/>
  <c r="Q15" i="2"/>
  <c r="J20" i="2"/>
  <c r="AF20" i="2" s="1" a="1"/>
  <c r="AF20" i="2" s="1"/>
  <c r="P24" i="2"/>
  <c r="AL24" i="2" s="1" a="1"/>
  <c r="AL24" i="2" s="1"/>
  <c r="J26" i="2"/>
  <c r="AF26" i="2" s="1" a="1"/>
  <c r="AF26" i="2" s="1"/>
  <c r="S27" i="2"/>
  <c r="AO27" i="2" s="1" a="1"/>
  <c r="AO27" i="2" s="1"/>
  <c r="M29" i="2"/>
  <c r="AI29" i="2" s="1" a="1"/>
  <c r="AI29" i="2" s="1"/>
  <c r="J30" i="2"/>
  <c r="AF30" i="2" s="1" a="1"/>
  <c r="AF30" i="2" s="1"/>
  <c r="K30" i="2"/>
  <c r="AG30" i="2" s="1" a="1"/>
  <c r="AG30" i="2" s="1"/>
  <c r="O30" i="2"/>
  <c r="R30" i="2"/>
  <c r="AN30" i="2" s="1" a="1"/>
  <c r="AN30" i="2" s="1"/>
  <c r="J31" i="2"/>
  <c r="G31" i="2"/>
  <c r="M31" i="2"/>
  <c r="Q32" i="2"/>
  <c r="S32" i="2"/>
  <c r="AO32" i="2" s="1" a="1"/>
  <c r="AO32" i="2" s="1"/>
  <c r="I32" i="2"/>
  <c r="AE32" i="2" s="1" a="1"/>
  <c r="AE32" i="2" s="1"/>
  <c r="O32" i="2"/>
  <c r="AK32" i="2" s="1" a="1"/>
  <c r="AK32" i="2" s="1"/>
  <c r="P33" i="2"/>
  <c r="AL33" i="2" s="1" a="1"/>
  <c r="AL33" i="2" s="1"/>
  <c r="M33" i="2"/>
  <c r="AI33" i="2" s="1" a="1"/>
  <c r="AI33" i="2" s="1"/>
  <c r="L33" i="2"/>
  <c r="AH33" i="2" s="1" a="1"/>
  <c r="AH33" i="2" s="1"/>
  <c r="G34" i="2"/>
  <c r="J34" i="2"/>
  <c r="AF34" i="2" s="1" a="1"/>
  <c r="AF34" i="2" s="1"/>
  <c r="R34" i="2"/>
  <c r="AN34" i="2" s="1" a="1"/>
  <c r="AN34" i="2" s="1"/>
  <c r="F34" i="2"/>
  <c r="AB34" i="2" s="1" a="1"/>
  <c r="AB34" i="2" s="1"/>
  <c r="V35" i="2"/>
  <c r="U35" i="2"/>
  <c r="X35" i="2" s="1"/>
  <c r="P38" i="19"/>
  <c r="P36" i="19"/>
  <c r="P42" i="19"/>
  <c r="P35" i="19"/>
  <c r="P41" i="19"/>
  <c r="P43" i="19"/>
  <c r="P34" i="19"/>
  <c r="P40" i="19"/>
  <c r="P39" i="19"/>
  <c r="P37" i="19"/>
  <c r="P41" i="18"/>
  <c r="P38" i="18"/>
  <c r="P39" i="18"/>
  <c r="P36" i="18"/>
  <c r="P42" i="18"/>
  <c r="P37" i="18"/>
  <c r="P43" i="18"/>
  <c r="P34" i="18"/>
  <c r="P35" i="18"/>
  <c r="P40" i="18"/>
  <c r="P41" i="17"/>
  <c r="P36" i="17"/>
  <c r="P43" i="17"/>
  <c r="P34" i="17"/>
  <c r="P39" i="17"/>
  <c r="P42" i="17"/>
  <c r="P37" i="17"/>
  <c r="P40" i="17"/>
  <c r="P35" i="17"/>
  <c r="P38" i="17"/>
  <c r="P43" i="16"/>
  <c r="P34" i="16"/>
  <c r="P40" i="16"/>
  <c r="P41" i="16"/>
  <c r="P39" i="16"/>
  <c r="P38" i="16"/>
  <c r="P36" i="16"/>
  <c r="P37" i="16"/>
  <c r="P42" i="16"/>
  <c r="P35" i="16"/>
  <c r="P36" i="14"/>
  <c r="P43" i="14"/>
  <c r="P34" i="14"/>
  <c r="P41" i="14"/>
  <c r="P39" i="14"/>
  <c r="P40" i="14"/>
  <c r="P38" i="14"/>
  <c r="P37" i="14"/>
  <c r="P42" i="14"/>
  <c r="P35" i="14"/>
  <c r="P34" i="13"/>
  <c r="P35" i="13"/>
  <c r="P40" i="13"/>
  <c r="P38" i="13"/>
  <c r="P37" i="13"/>
  <c r="P43" i="13"/>
  <c r="P41" i="13"/>
  <c r="P39" i="13"/>
  <c r="P36" i="13"/>
  <c r="P42" i="13"/>
  <c r="P41" i="12"/>
  <c r="P39" i="12"/>
  <c r="P43" i="12"/>
  <c r="P34" i="12"/>
  <c r="P42" i="12"/>
  <c r="P37" i="12"/>
  <c r="P40" i="12"/>
  <c r="P35" i="12"/>
  <c r="P38" i="12"/>
  <c r="P36" i="12"/>
  <c r="P40" i="10"/>
  <c r="P39" i="10"/>
  <c r="P31" i="10"/>
  <c r="P38" i="10"/>
  <c r="P37" i="10"/>
  <c r="P36" i="10"/>
  <c r="P42" i="10"/>
  <c r="P35" i="10"/>
  <c r="P43" i="10"/>
  <c r="P34" i="10"/>
  <c r="P41" i="10"/>
  <c r="P37" i="9"/>
  <c r="P43" i="9"/>
  <c r="P34" i="9"/>
  <c r="P35" i="9"/>
  <c r="P40" i="9"/>
  <c r="P41" i="9"/>
  <c r="P38" i="9"/>
  <c r="P39" i="9"/>
  <c r="P36" i="9"/>
  <c r="P42" i="9"/>
  <c r="P40" i="8"/>
  <c r="P37" i="8"/>
  <c r="P35" i="8"/>
  <c r="P38" i="8"/>
  <c r="P39" i="8"/>
  <c r="P42" i="8"/>
  <c r="P41" i="8"/>
  <c r="P36" i="8"/>
  <c r="P43" i="8"/>
  <c r="P34" i="8"/>
  <c r="P43" i="7"/>
  <c r="P34" i="7"/>
  <c r="P42" i="7"/>
  <c r="P35" i="7"/>
  <c r="P40" i="7"/>
  <c r="P41" i="7"/>
  <c r="P36" i="7"/>
  <c r="P37" i="7"/>
  <c r="P38" i="7"/>
  <c r="P39" i="7"/>
  <c r="P40" i="15"/>
  <c r="P38" i="15"/>
  <c r="P37" i="15"/>
  <c r="P35" i="15"/>
  <c r="P42" i="15"/>
  <c r="P36" i="15"/>
  <c r="P43" i="15"/>
  <c r="P34" i="15"/>
  <c r="P41" i="15"/>
  <c r="P39" i="15"/>
  <c r="I57" i="2"/>
  <c r="N60" i="2"/>
  <c r="I62" i="2"/>
  <c r="M62" i="2"/>
  <c r="M55" i="2"/>
  <c r="N61" i="2"/>
  <c r="E55" i="2"/>
  <c r="I65" i="2"/>
  <c r="I64" i="2"/>
  <c r="E63" i="2"/>
  <c r="L58" i="2"/>
  <c r="P61" i="2"/>
  <c r="K63" i="2"/>
  <c r="R63" i="2"/>
  <c r="E57" i="2"/>
  <c r="F65" i="2"/>
  <c r="K61" i="2"/>
  <c r="E64" i="2"/>
  <c r="H63" i="2"/>
  <c r="E59" i="2"/>
  <c r="N62" i="2"/>
  <c r="R65" i="2"/>
  <c r="N63" i="2"/>
  <c r="G58" i="2"/>
  <c r="E62" i="2"/>
  <c r="Q59" i="2"/>
  <c r="P66" i="2"/>
  <c r="L60" i="2"/>
  <c r="I59" i="2"/>
  <c r="G65" i="2"/>
  <c r="F60" i="2"/>
  <c r="N56" i="2"/>
  <c r="Q66" i="2"/>
  <c r="P57" i="2"/>
  <c r="Q58" i="2"/>
  <c r="H65" i="2"/>
  <c r="M64" i="2"/>
  <c r="R61" i="2"/>
  <c r="H55" i="2"/>
  <c r="M65" i="2"/>
  <c r="N57" i="2"/>
  <c r="R66" i="2"/>
  <c r="G60" i="2"/>
  <c r="R58" i="2"/>
  <c r="K60" i="2"/>
  <c r="J58" i="2"/>
  <c r="F59" i="2"/>
  <c r="K62" i="2"/>
  <c r="G64" i="2"/>
  <c r="L57" i="2"/>
  <c r="J66" i="2"/>
  <c r="O58" i="2"/>
  <c r="I63" i="2"/>
  <c r="H66" i="2"/>
  <c r="K57" i="2"/>
  <c r="O59" i="2"/>
  <c r="O66" i="2"/>
  <c r="F64" i="2"/>
  <c r="M59" i="2"/>
  <c r="Q65" i="2"/>
  <c r="R56" i="2"/>
  <c r="I56" i="2"/>
  <c r="K56" i="2"/>
  <c r="P64" i="2"/>
  <c r="G62" i="2"/>
  <c r="N55" i="2"/>
  <c r="R64" i="2"/>
  <c r="P59" i="2"/>
  <c r="G56" i="2"/>
  <c r="L61" i="2"/>
  <c r="O56" i="2"/>
  <c r="L64" i="2"/>
  <c r="H56" i="2"/>
  <c r="K58" i="2"/>
  <c r="F55" i="2"/>
  <c r="R57" i="2"/>
  <c r="L65" i="2"/>
  <c r="H64" i="2"/>
  <c r="K59" i="2"/>
  <c r="R60" i="2"/>
  <c r="Q62" i="2"/>
  <c r="J55" i="2"/>
  <c r="N64" i="2"/>
  <c r="Q56" i="2"/>
  <c r="N65" i="2"/>
  <c r="O55" i="2"/>
  <c r="J57" i="2"/>
  <c r="L66" i="2"/>
  <c r="R59" i="2"/>
  <c r="H60" i="2"/>
  <c r="H62" i="2"/>
  <c r="N59" i="2"/>
  <c r="P63" i="2"/>
  <c r="M56" i="2"/>
  <c r="P65" i="2"/>
  <c r="E58" i="2"/>
  <c r="H57" i="2"/>
  <c r="M61" i="2"/>
  <c r="G55" i="2"/>
  <c r="I58" i="2"/>
  <c r="M66" i="2"/>
  <c r="P55" i="2"/>
  <c r="J63" i="2"/>
  <c r="O62" i="2"/>
  <c r="J56" i="2"/>
  <c r="G61" i="2"/>
  <c r="J60" i="2"/>
  <c r="M63" i="2"/>
  <c r="H58" i="2"/>
  <c r="G59" i="2"/>
  <c r="L59" i="2"/>
  <c r="E65" i="2"/>
  <c r="K65" i="2"/>
  <c r="H59" i="2"/>
  <c r="Q60" i="2"/>
  <c r="Q55" i="2"/>
  <c r="F66" i="2"/>
  <c r="O57" i="2"/>
  <c r="P58" i="2"/>
  <c r="E61" i="2"/>
  <c r="G57" i="2"/>
  <c r="E66" i="2"/>
  <c r="E56" i="2"/>
  <c r="R55" i="2"/>
  <c r="K64" i="2"/>
  <c r="M57" i="2"/>
  <c r="P60" i="2"/>
  <c r="R62" i="2"/>
  <c r="G63" i="2"/>
  <c r="J62" i="2"/>
  <c r="L55" i="2"/>
  <c r="F62" i="2"/>
  <c r="N58" i="2"/>
  <c r="Q63" i="2"/>
  <c r="J61" i="2"/>
  <c r="F56" i="2"/>
  <c r="H61" i="2"/>
  <c r="P62" i="2"/>
  <c r="P56" i="2"/>
  <c r="L63" i="2"/>
  <c r="L62" i="2"/>
  <c r="J65" i="2"/>
  <c r="F57" i="2"/>
  <c r="O60" i="2"/>
  <c r="I66" i="2"/>
  <c r="K55" i="2"/>
  <c r="I61" i="2"/>
  <c r="O64" i="2"/>
  <c r="M58" i="2"/>
  <c r="N66" i="2"/>
  <c r="M60" i="2"/>
  <c r="L56" i="2"/>
  <c r="I55" i="2"/>
  <c r="J59" i="2"/>
  <c r="I60" i="2"/>
  <c r="K66" i="2"/>
  <c r="Q64" i="2"/>
  <c r="F61" i="2"/>
  <c r="Q61" i="2"/>
  <c r="J64" i="2"/>
  <c r="G66" i="2"/>
  <c r="Q57" i="2"/>
  <c r="O61" i="2"/>
  <c r="F63" i="2"/>
  <c r="O65" i="2"/>
  <c r="E60" i="2"/>
  <c r="O63" i="2"/>
  <c r="F58" i="2"/>
  <c r="J40" i="1" a="1"/>
  <c r="J40" i="1" s="1"/>
  <c r="G43" i="1" a="1"/>
  <c r="G43" i="1" s="1"/>
  <c r="J3" i="1" a="1"/>
  <c r="J3" i="1" s="1"/>
  <c r="G8" i="1" a="1"/>
  <c r="G8" i="1" s="1"/>
  <c r="G12" i="1" a="1"/>
  <c r="G12" i="1" s="1"/>
  <c r="G16" i="1" a="1"/>
  <c r="G16" i="1" s="1"/>
  <c r="G20" i="1" a="1"/>
  <c r="G20" i="1" s="1"/>
  <c r="J29" i="1" a="1"/>
  <c r="J29" i="1" s="1"/>
  <c r="G36" i="1" a="1"/>
  <c r="G36" i="1" s="1"/>
  <c r="J37" i="1" a="1"/>
  <c r="J37" i="1" s="1"/>
  <c r="G40" i="1" a="1"/>
  <c r="G40" i="1" s="1"/>
  <c r="G5" i="1" a="1"/>
  <c r="G5" i="1" s="1"/>
  <c r="J6" i="1" a="1"/>
  <c r="J6" i="1" s="1"/>
  <c r="G7" i="1" a="1"/>
  <c r="G7" i="1" s="1"/>
  <c r="G11" i="1" a="1"/>
  <c r="G11" i="1" s="1"/>
  <c r="J12" i="1" a="1"/>
  <c r="J12" i="1" s="1"/>
  <c r="G15" i="1" a="1"/>
  <c r="G15" i="1" s="1"/>
  <c r="J16" i="1" a="1"/>
  <c r="J16" i="1" s="1"/>
  <c r="G19" i="1" a="1"/>
  <c r="G19" i="1" s="1"/>
  <c r="G23" i="1" a="1"/>
  <c r="G23" i="1" s="1"/>
  <c r="G27" i="1" a="1"/>
  <c r="G27" i="1" s="1"/>
  <c r="G31" i="1" a="1"/>
  <c r="G31" i="1" s="1"/>
  <c r="G35" i="1" a="1"/>
  <c r="G35" i="1" s="1"/>
  <c r="J36" i="1" a="1"/>
  <c r="J36" i="1" s="1"/>
  <c r="G39" i="1" a="1"/>
  <c r="G39" i="1" s="1"/>
  <c r="J41" i="1" a="1"/>
  <c r="J41" i="1" s="1"/>
  <c r="G6" i="1" a="1"/>
  <c r="G6" i="1" s="1"/>
  <c r="J13" i="1" a="1"/>
  <c r="J13" i="1" s="1"/>
  <c r="J25" i="1" a="1"/>
  <c r="J25" i="1" s="1"/>
  <c r="G28" i="1" a="1"/>
  <c r="G28" i="1" s="1"/>
  <c r="G32" i="1" a="1"/>
  <c r="G32" i="1" s="1"/>
  <c r="J33" i="1" a="1"/>
  <c r="J33" i="1" s="1"/>
  <c r="J2" i="1" a="1"/>
  <c r="J2" i="1" s="1"/>
  <c r="J4" i="1" a="1"/>
  <c r="J4" i="1" s="1"/>
  <c r="G9" i="1" a="1"/>
  <c r="G9" i="1" s="1"/>
  <c r="J10" i="1" a="1"/>
  <c r="J10" i="1" s="1"/>
  <c r="G13" i="1" a="1"/>
  <c r="G13" i="1" s="1"/>
  <c r="J14" i="1" a="1"/>
  <c r="J14" i="1" s="1"/>
  <c r="G17" i="1" a="1"/>
  <c r="G17" i="1" s="1"/>
  <c r="J18" i="1" a="1"/>
  <c r="J18" i="1" s="1"/>
  <c r="G21" i="1" a="1"/>
  <c r="G21" i="1" s="1"/>
  <c r="J22" i="1" a="1"/>
  <c r="J22" i="1" s="1"/>
  <c r="G25" i="1" a="1"/>
  <c r="G25" i="1" s="1"/>
  <c r="J26" i="1" a="1"/>
  <c r="J26" i="1" s="1"/>
  <c r="G29" i="1" a="1"/>
  <c r="G29" i="1" s="1"/>
  <c r="J30" i="1" a="1"/>
  <c r="J30" i="1" s="1"/>
  <c r="G33" i="1" a="1"/>
  <c r="G33" i="1" s="1"/>
  <c r="J34" i="1" a="1"/>
  <c r="J34" i="1" s="1"/>
  <c r="G37" i="1" a="1"/>
  <c r="G37" i="1" s="1"/>
  <c r="J38" i="1" a="1"/>
  <c r="J38" i="1" s="1"/>
  <c r="G41" i="1" a="1"/>
  <c r="G41" i="1" s="1"/>
  <c r="G42" i="1" a="1"/>
  <c r="G42" i="1" s="1"/>
  <c r="G44" i="1" a="1"/>
  <c r="G44" i="1" s="1"/>
  <c r="J8" i="1" a="1"/>
  <c r="J8" i="1" s="1"/>
  <c r="J20" i="1" a="1"/>
  <c r="J20" i="1" s="1"/>
  <c r="J24" i="1" a="1"/>
  <c r="J24" i="1" s="1"/>
  <c r="J28" i="1" a="1"/>
  <c r="J28" i="1" s="1"/>
  <c r="J9" i="1" a="1"/>
  <c r="J9" i="1" s="1"/>
  <c r="J17" i="1" a="1"/>
  <c r="J17" i="1" s="1"/>
  <c r="J21" i="1" a="1"/>
  <c r="J21" i="1" s="1"/>
  <c r="G24" i="1" a="1"/>
  <c r="G24" i="1" s="1"/>
  <c r="J1" i="1" a="1"/>
  <c r="J1" i="1" s="1"/>
  <c r="J5" i="1" a="1"/>
  <c r="J5" i="1" s="1"/>
  <c r="J7" i="1" a="1"/>
  <c r="J7" i="1" s="1"/>
  <c r="G10" i="1" a="1"/>
  <c r="G10" i="1" s="1"/>
  <c r="J11" i="1" a="1"/>
  <c r="J11" i="1" s="1"/>
  <c r="G14" i="1" a="1"/>
  <c r="G14" i="1" s="1"/>
  <c r="J15" i="1" a="1"/>
  <c r="J15" i="1" s="1"/>
  <c r="G18" i="1" a="1"/>
  <c r="G18" i="1" s="1"/>
  <c r="J19" i="1" a="1"/>
  <c r="J19" i="1" s="1"/>
  <c r="G22" i="1" a="1"/>
  <c r="G22" i="1" s="1"/>
  <c r="J23" i="1" a="1"/>
  <c r="J23" i="1" s="1"/>
  <c r="G26" i="1" a="1"/>
  <c r="G26" i="1" s="1"/>
  <c r="J27" i="1" a="1"/>
  <c r="J27" i="1" s="1"/>
  <c r="G30" i="1" a="1"/>
  <c r="G30" i="1" s="1"/>
  <c r="J31" i="1" a="1"/>
  <c r="J31" i="1" s="1"/>
  <c r="G34" i="1" a="1"/>
  <c r="G34" i="1" s="1"/>
  <c r="J35" i="1" a="1"/>
  <c r="J35" i="1" s="1"/>
  <c r="G38" i="1" a="1"/>
  <c r="G38" i="1" s="1"/>
  <c r="P67" i="2" a="1"/>
  <c r="H68" i="2" a="1"/>
  <c r="O70" i="2" a="1"/>
  <c r="F70" i="2" a="1"/>
  <c r="J69" i="2" a="1"/>
  <c r="Q69" i="2" a="1"/>
  <c r="M68" i="2" a="1"/>
  <c r="M70" i="2" a="1"/>
  <c r="E69" i="2" a="1"/>
  <c r="L69" i="2" a="1"/>
  <c r="I67" i="2" a="1"/>
  <c r="K67" i="2" a="1"/>
  <c r="I68" i="2" a="1"/>
  <c r="K68" i="2" a="1"/>
  <c r="N67" i="2" a="1"/>
  <c r="G69" i="2" a="1"/>
  <c r="L68" i="2" a="1"/>
  <c r="F69" i="2" a="1"/>
  <c r="H67" i="2" a="1"/>
  <c r="N68" i="2" a="1"/>
  <c r="R70" i="2" a="1"/>
  <c r="L70" i="2" a="1"/>
  <c r="O68" i="2" a="1"/>
  <c r="G67" i="2" a="1"/>
  <c r="P68" i="2" a="1"/>
  <c r="R67" i="2" a="1"/>
  <c r="M69" i="2" a="1"/>
  <c r="Q70" i="2" a="1"/>
  <c r="R68" i="2" a="1"/>
  <c r="E70" i="2" a="1"/>
  <c r="K70" i="2" a="1"/>
  <c r="J70" i="2" a="1"/>
  <c r="F68" i="2" a="1"/>
  <c r="N69" i="2" a="1"/>
  <c r="G68" i="2" a="1"/>
  <c r="F67" i="2" a="1"/>
  <c r="E68" i="2" a="1"/>
  <c r="G70" i="2" a="1"/>
  <c r="E67" i="2" a="1"/>
  <c r="J68" i="2" a="1"/>
  <c r="Q67" i="2" a="1"/>
  <c r="P69" i="2" a="1"/>
  <c r="N70" i="2" a="1"/>
  <c r="K69" i="2" a="1"/>
  <c r="H70" i="2" a="1"/>
  <c r="O69" i="2" a="1"/>
  <c r="I69" i="2" a="1"/>
  <c r="H69" i="2" a="1"/>
  <c r="J67" i="2" a="1"/>
  <c r="I70" i="2" a="1"/>
  <c r="O67" i="2" a="1"/>
  <c r="R69" i="2" a="1"/>
  <c r="M67" i="2" a="1"/>
  <c r="Q68" i="2" a="1"/>
  <c r="P70" i="2" a="1"/>
  <c r="L67" i="2" a="1"/>
  <c r="R72" i="2" a="1"/>
  <c r="P73" i="2" a="1"/>
  <c r="L74" i="2" a="1"/>
  <c r="E74" i="2" a="1"/>
  <c r="N75" i="2" a="1"/>
  <c r="E71" i="2" a="1"/>
  <c r="Q71" i="2" a="1"/>
  <c r="E73" i="2" a="1"/>
  <c r="G72" i="2" a="1"/>
  <c r="O73" i="2" a="1"/>
  <c r="Q74" i="2" a="1"/>
  <c r="K73" i="2" a="1"/>
  <c r="R74" i="2" a="1"/>
  <c r="J74" i="2" a="1"/>
  <c r="M74" i="2" a="1"/>
  <c r="F71" i="2" a="1"/>
  <c r="R75" i="2" a="1"/>
  <c r="L73" i="2" a="1"/>
  <c r="F75" i="2" a="1"/>
  <c r="M75" i="2" a="1"/>
  <c r="H73" i="2" a="1"/>
  <c r="H75" i="2" a="1"/>
  <c r="K75" i="2" a="1"/>
  <c r="O72" i="2" a="1"/>
  <c r="N72" i="2" a="1"/>
  <c r="Q75" i="2" a="1"/>
  <c r="O75" i="2" a="1"/>
  <c r="H74" i="2" a="1"/>
  <c r="G71" i="2" a="1"/>
  <c r="I71" i="2" a="1"/>
  <c r="L72" i="2" a="1"/>
  <c r="N74" i="2" a="1"/>
  <c r="I72" i="2" a="1"/>
  <c r="E72" i="2" a="1"/>
  <c r="G75" i="2" a="1"/>
  <c r="L75" i="2" a="1"/>
  <c r="M73" i="2" a="1"/>
  <c r="J73" i="2" a="1"/>
  <c r="P74" i="2" a="1"/>
  <c r="E75" i="2" a="1"/>
  <c r="Q73" i="2" a="1"/>
  <c r="P75" i="2" a="1"/>
  <c r="H72" i="2" a="1"/>
  <c r="M71" i="2" a="1"/>
  <c r="Q72" i="2" a="1"/>
  <c r="G74" i="2" a="1"/>
  <c r="N71" i="2" a="1"/>
  <c r="J71" i="2" a="1"/>
  <c r="P71" i="2" a="1"/>
  <c r="L71" i="2" a="1"/>
  <c r="M72" i="2" a="1"/>
  <c r="I73" i="2" a="1"/>
  <c r="K74" i="2" a="1"/>
  <c r="F72" i="2" a="1"/>
  <c r="J72" i="2" a="1"/>
  <c r="K72" i="2" a="1"/>
  <c r="F74" i="2" a="1"/>
  <c r="R71" i="2" a="1"/>
  <c r="O71" i="2" a="1"/>
  <c r="F73" i="2" a="1"/>
  <c r="H71" i="2" a="1"/>
  <c r="I74" i="2" a="1"/>
  <c r="P72" i="2" a="1"/>
  <c r="K71" i="2" a="1"/>
  <c r="R73" i="2" a="1"/>
  <c r="N73" i="2" a="1"/>
  <c r="G73" i="2" a="1"/>
  <c r="O74" i="2" a="1"/>
  <c r="I75" i="2" a="1"/>
  <c r="J75" i="2" a="1"/>
  <c r="N80" i="2" a="1"/>
  <c r="O80" i="2" a="1"/>
  <c r="O77" i="2" a="1"/>
  <c r="H78" i="2" a="1"/>
  <c r="K80" i="2" a="1"/>
  <c r="L78" i="2" a="1"/>
  <c r="F77" i="2" a="1"/>
  <c r="F79" i="2" a="1"/>
  <c r="F76" i="2" a="1"/>
  <c r="E76" i="2" a="1"/>
  <c r="P77" i="2" a="1"/>
  <c r="L79" i="2" a="1"/>
  <c r="R80" i="2" a="1"/>
  <c r="M76" i="2" a="1"/>
  <c r="I80" i="2" a="1"/>
  <c r="N79" i="2" a="1"/>
  <c r="J77" i="2" a="1"/>
  <c r="E79" i="2" a="1"/>
  <c r="O78" i="2" a="1"/>
  <c r="P79" i="2" a="1"/>
  <c r="J79" i="2" a="1"/>
  <c r="G76" i="2" a="1"/>
  <c r="Q77" i="2" a="1"/>
  <c r="Q79" i="2" a="1"/>
  <c r="R77" i="2" a="1"/>
  <c r="G80" i="2" a="1"/>
  <c r="P76" i="2" a="1"/>
  <c r="J78" i="2" a="1"/>
  <c r="I79" i="2" a="1"/>
  <c r="L76" i="2" a="1"/>
  <c r="N78" i="2" a="1"/>
  <c r="H80" i="2" a="1"/>
  <c r="P80" i="2" a="1"/>
  <c r="N77" i="2" a="1"/>
  <c r="M78" i="2" a="1"/>
  <c r="M77" i="2" a="1"/>
  <c r="K79" i="2" a="1"/>
  <c r="K77" i="2" a="1"/>
  <c r="F78" i="2" a="1"/>
  <c r="P78" i="2" a="1"/>
  <c r="H79" i="2" a="1"/>
  <c r="R79" i="2" a="1"/>
  <c r="K76" i="2" a="1"/>
  <c r="G79" i="2" a="1"/>
  <c r="F80" i="2" a="1"/>
  <c r="K78" i="2" a="1"/>
  <c r="H77" i="2" a="1"/>
  <c r="E78" i="2" a="1"/>
  <c r="Q76" i="2" a="1"/>
  <c r="L77" i="2" a="1"/>
  <c r="Q80" i="2" a="1"/>
  <c r="G77" i="2" a="1"/>
  <c r="E77" i="2" a="1"/>
  <c r="R78" i="2" a="1"/>
  <c r="O79" i="2" a="1"/>
  <c r="Q78" i="2" a="1"/>
  <c r="H76" i="2" a="1"/>
  <c r="M79" i="2" a="1"/>
  <c r="L80" i="2" a="1"/>
  <c r="R76" i="2" a="1"/>
  <c r="J80" i="2" a="1"/>
  <c r="E80" i="2" a="1"/>
  <c r="I76" i="2" a="1"/>
  <c r="J76" i="2" a="1"/>
  <c r="N76" i="2" a="1"/>
  <c r="M80" i="2" a="1"/>
  <c r="O76" i="2" a="1"/>
  <c r="I77" i="2" a="1"/>
  <c r="G78" i="2" a="1"/>
  <c r="I78" i="2" a="1"/>
  <c r="AB42" i="2" a="1"/>
  <c r="AB43" i="2" a="1"/>
  <c r="F81" i="2" a="1"/>
  <c r="J81" i="2" a="1"/>
  <c r="P81" i="2" a="1"/>
  <c r="K84" i="2" a="1"/>
  <c r="J84" i="2" a="1"/>
  <c r="P84" i="2" a="1"/>
  <c r="R85" i="2" a="1"/>
  <c r="G83" i="2" a="1"/>
  <c r="L82" i="2" a="1"/>
  <c r="I83" i="2" a="1"/>
  <c r="E81" i="2" a="1"/>
  <c r="P82" i="2" a="1"/>
  <c r="O85" i="2" a="1"/>
  <c r="M82" i="2" a="1"/>
  <c r="L85" i="2" a="1"/>
  <c r="K83" i="2" a="1"/>
  <c r="G82" i="2" a="1"/>
  <c r="P85" i="2" a="1"/>
  <c r="R84" i="2" a="1"/>
  <c r="F85" i="2" a="1"/>
  <c r="I84" i="2" a="1"/>
  <c r="M85" i="2" a="1"/>
  <c r="E85" i="2" a="1"/>
  <c r="J83" i="2" a="1"/>
  <c r="Q82" i="2" a="1"/>
  <c r="F83" i="2" a="1"/>
  <c r="I81" i="2" a="1"/>
  <c r="O83" i="2" a="1"/>
  <c r="J85" i="2" a="1"/>
  <c r="N82" i="2" a="1"/>
  <c r="H84" i="2" a="1"/>
  <c r="O82" i="2" a="1"/>
  <c r="R81" i="2" a="1"/>
  <c r="I85" i="2" a="1"/>
  <c r="K85" i="2" a="1"/>
  <c r="G85" i="2" a="1"/>
  <c r="M83" i="2" a="1"/>
  <c r="L84" i="2" a="1"/>
  <c r="N85" i="2" a="1"/>
  <c r="E84" i="2" a="1"/>
  <c r="M81" i="2" a="1"/>
  <c r="H83" i="2" a="1"/>
  <c r="R82" i="2" a="1"/>
  <c r="I82" i="2" a="1"/>
  <c r="R83" i="2" a="1"/>
  <c r="O84" i="2" a="1"/>
  <c r="F82" i="2" a="1"/>
  <c r="L81" i="2" a="1"/>
  <c r="N83" i="2" a="1"/>
  <c r="Q83" i="2" a="1"/>
  <c r="J82" i="2" a="1"/>
  <c r="Q85" i="2" a="1"/>
  <c r="H81" i="2" a="1"/>
  <c r="H82" i="2" a="1"/>
  <c r="N81" i="2" a="1"/>
  <c r="G84" i="2" a="1"/>
  <c r="Q81" i="2" a="1"/>
  <c r="M84" i="2" a="1"/>
  <c r="O81" i="2" a="1"/>
  <c r="N84" i="2" a="1"/>
  <c r="E83" i="2" a="1"/>
  <c r="E82" i="2" a="1"/>
  <c r="L83" i="2" a="1"/>
  <c r="P83" i="2" a="1"/>
  <c r="G81" i="2" a="1"/>
  <c r="K82" i="2" a="1"/>
  <c r="F84" i="2" a="1"/>
  <c r="K81" i="2" a="1"/>
  <c r="H85" i="2" a="1"/>
  <c r="Q84" i="2" a="1"/>
  <c r="AN26" i="2" a="1"/>
  <c r="AC31" i="2" a="1"/>
  <c r="Y37" i="22"/>
  <c r="L39" i="22"/>
  <c r="AE25" i="22"/>
  <c r="H11" i="2" a="1"/>
  <c r="I39" i="22"/>
  <c r="S43" i="22"/>
  <c r="AA37" i="22"/>
  <c r="G4" i="4"/>
  <c r="F33" i="22"/>
  <c r="AD31" i="22"/>
  <c r="Q33" i="22"/>
  <c r="AC8" i="21"/>
  <c r="AF5" i="22"/>
  <c r="AB6" i="21"/>
  <c r="AD20" i="22"/>
  <c r="G15" i="4"/>
  <c r="AE6" i="21"/>
  <c r="O34" i="22"/>
  <c r="G7" i="4"/>
  <c r="Z43" i="22"/>
  <c r="H9" i="2" a="1"/>
  <c r="AD28" i="22"/>
  <c r="R37" i="21"/>
  <c r="AC6" i="22"/>
  <c r="F6" i="2" a="1"/>
  <c r="Y12" i="21"/>
  <c r="AI20" i="2" a="1"/>
  <c r="M6" i="2" a="1"/>
  <c r="Y40" i="22"/>
  <c r="T10" i="21"/>
  <c r="AB26" i="22"/>
  <c r="AC18" i="21"/>
  <c r="AA15" i="21"/>
  <c r="V30" i="21"/>
  <c r="AC24" i="22"/>
  <c r="I31" i="22"/>
  <c r="AE40" i="22"/>
  <c r="AF19" i="21"/>
  <c r="L13" i="22"/>
  <c r="W24" i="22"/>
  <c r="K20" i="22"/>
  <c r="I32" i="22"/>
  <c r="Y5" i="22"/>
  <c r="AC39" i="21"/>
  <c r="H14" i="4"/>
  <c r="AD33" i="22"/>
  <c r="L25" i="22"/>
  <c r="O12" i="2" a="1"/>
  <c r="AH7" i="21"/>
  <c r="T19" i="22"/>
  <c r="E43" i="22"/>
  <c r="R18" i="21"/>
  <c r="V9" i="21"/>
  <c r="H35" i="4"/>
  <c r="M34" i="22"/>
  <c r="AG17" i="22"/>
  <c r="X28" i="22"/>
  <c r="R10" i="2" a="1"/>
  <c r="J13" i="2" a="1"/>
  <c r="I37" i="22"/>
  <c r="AA6" i="22"/>
  <c r="AE29" i="22"/>
  <c r="AH39" i="22"/>
  <c r="N11" i="2" a="1"/>
  <c r="J4" i="21"/>
  <c r="M33" i="22"/>
  <c r="K37" i="22"/>
  <c r="Z20" i="21"/>
  <c r="AB34" i="21"/>
  <c r="U42" i="21"/>
  <c r="L34" i="21"/>
  <c r="AG40" i="21"/>
  <c r="AC42" i="22"/>
  <c r="AK20" i="2" a="1"/>
  <c r="S6" i="2" a="1"/>
  <c r="AD6" i="22"/>
  <c r="S33" i="22"/>
  <c r="AG7" i="21"/>
  <c r="G10" i="2" a="1"/>
  <c r="G32" i="4"/>
  <c r="M18" i="22"/>
  <c r="L10" i="2" a="1"/>
  <c r="AA42" i="22"/>
  <c r="Q12" i="22"/>
  <c r="AH37" i="22"/>
  <c r="J7" i="2" a="1"/>
  <c r="K21" i="22"/>
  <c r="O12" i="22"/>
  <c r="Z29" i="21"/>
  <c r="R23" i="21"/>
  <c r="Y28" i="21"/>
  <c r="I16" i="22"/>
  <c r="Y24" i="22"/>
  <c r="X35" i="21"/>
  <c r="K5" i="2" a="1"/>
  <c r="J6" i="2" a="1"/>
  <c r="E15" i="21"/>
  <c r="AB9" i="21"/>
  <c r="I13" i="2" a="1"/>
  <c r="Y33" i="21"/>
  <c r="V41" i="22"/>
  <c r="T31" i="21"/>
  <c r="L28" i="21"/>
  <c r="V5" i="22"/>
  <c r="S21" i="22"/>
  <c r="M10" i="22"/>
  <c r="AC16" i="2" a="1"/>
  <c r="AB26" i="2" a="1"/>
  <c r="AL31" i="2" a="1"/>
  <c r="AI34" i="2" a="1"/>
  <c r="AL22" i="2" a="1"/>
  <c r="AO29" i="2" a="1"/>
  <c r="AG16" i="2" a="1"/>
  <c r="AD21" i="2" a="1"/>
  <c r="H16" i="4"/>
  <c r="G6" i="4"/>
  <c r="F40" i="22"/>
  <c r="AF40" i="22"/>
  <c r="AA38" i="21"/>
  <c r="U32" i="22"/>
  <c r="F43" i="22"/>
  <c r="AC34" i="22"/>
  <c r="G10" i="22"/>
  <c r="M26" i="22"/>
  <c r="G25" i="4"/>
  <c r="O8" i="2" a="1"/>
  <c r="Y35" i="22"/>
  <c r="E13" i="22"/>
  <c r="AA7" i="21"/>
  <c r="W11" i="22"/>
  <c r="P11" i="2" a="1"/>
  <c r="AA18" i="21"/>
  <c r="I14" i="22"/>
  <c r="M43" i="21"/>
  <c r="AM14" i="2" a="1"/>
  <c r="AG22" i="2" a="1"/>
  <c r="R7" i="2" a="1"/>
  <c r="AF35" i="22"/>
  <c r="W41" i="21"/>
  <c r="AG41" i="22"/>
  <c r="AC20" i="22"/>
  <c r="K34" i="22"/>
  <c r="G24" i="22"/>
  <c r="AH21" i="22"/>
  <c r="AC7" i="21"/>
  <c r="Y9" i="22"/>
  <c r="H20" i="4"/>
  <c r="Y43" i="22"/>
  <c r="P6" i="2" a="1"/>
  <c r="AC33" i="22"/>
  <c r="S31" i="22"/>
  <c r="R11" i="2" a="1"/>
  <c r="AD25" i="21"/>
  <c r="AE21" i="21"/>
  <c r="M23" i="22"/>
  <c r="T40" i="22"/>
  <c r="AE28" i="2" a="1"/>
  <c r="H8" i="2" a="1"/>
  <c r="V36" i="22"/>
  <c r="AL27" i="2" a="1"/>
  <c r="AI18" i="2" a="1"/>
  <c r="AG26" i="2" a="1"/>
  <c r="AE16" i="2" a="1"/>
  <c r="AM17" i="2" a="1"/>
  <c r="AG20" i="2" a="1"/>
  <c r="Y36" i="22"/>
  <c r="AE17" i="22"/>
  <c r="AG7" i="22"/>
  <c r="AH29" i="22"/>
  <c r="T29" i="21"/>
  <c r="Z40" i="22"/>
  <c r="AF12" i="22"/>
  <c r="P12" i="2" a="1"/>
  <c r="R13" i="2" a="1"/>
  <c r="L7" i="2" a="1"/>
  <c r="M9" i="2" a="1"/>
  <c r="O43" i="22"/>
  <c r="H6" i="4"/>
  <c r="W7" i="22"/>
  <c r="T30" i="22"/>
  <c r="X21" i="22"/>
  <c r="U19" i="22"/>
  <c r="E37" i="22"/>
  <c r="Y38" i="22"/>
  <c r="AM18" i="2" a="1"/>
  <c r="AC22" i="2" a="1"/>
  <c r="AJ29" i="2" a="1"/>
  <c r="AA31" i="22"/>
  <c r="AC24" i="21"/>
  <c r="I26" i="22"/>
  <c r="R8" i="2" a="1"/>
  <c r="I13" i="22"/>
  <c r="AG29" i="22"/>
  <c r="U24" i="22"/>
  <c r="AE7" i="21"/>
  <c r="W19" i="22"/>
  <c r="P9" i="2" a="1"/>
  <c r="J11" i="2" a="1"/>
  <c r="Q25" i="21"/>
  <c r="Q6" i="2" a="1"/>
  <c r="AH22" i="22"/>
  <c r="AE20" i="22"/>
  <c r="H13" i="4"/>
  <c r="V42" i="22"/>
  <c r="AC29" i="21"/>
  <c r="AF41" i="22"/>
  <c r="AO15" i="2" a="1"/>
  <c r="AJ27" i="2" a="1"/>
  <c r="G19" i="4"/>
  <c r="AB19" i="2" a="1"/>
  <c r="G38" i="22"/>
  <c r="O17" i="22"/>
  <c r="F8" i="22"/>
  <c r="G11" i="4"/>
  <c r="E36" i="22"/>
  <c r="U39" i="22"/>
  <c r="W13" i="21"/>
  <c r="G14" i="22"/>
  <c r="J10" i="2" a="1"/>
  <c r="I12" i="2" a="1"/>
  <c r="E23" i="22"/>
  <c r="I35" i="21"/>
  <c r="E7" i="22"/>
  <c r="U21" i="22"/>
  <c r="O37" i="22"/>
  <c r="AF12" i="21"/>
  <c r="V32" i="22"/>
  <c r="G7" i="2" a="1"/>
  <c r="W25" i="22"/>
  <c r="AM25" i="2" a="1"/>
  <c r="AF16" i="2" a="1"/>
  <c r="AE19" i="2" a="1"/>
  <c r="G6" i="2" a="1"/>
  <c r="M11" i="21"/>
  <c r="I35" i="22"/>
  <c r="AA9" i="22"/>
  <c r="F11" i="2" a="1"/>
  <c r="G16" i="21"/>
  <c r="H41" i="4"/>
  <c r="S17" i="22"/>
  <c r="G12" i="2" a="1"/>
  <c r="AC29" i="22"/>
  <c r="Q40" i="22"/>
  <c r="M7" i="2" a="1"/>
  <c r="AC21" i="22"/>
  <c r="AA11" i="22"/>
  <c r="F9" i="2" a="1"/>
  <c r="W4" i="22"/>
  <c r="AA8" i="22"/>
  <c r="AD26" i="21"/>
  <c r="AG40" i="22"/>
  <c r="AL16" i="2" a="1"/>
  <c r="AC18" i="2" a="1"/>
  <c r="W27" i="22"/>
  <c r="F25" i="22"/>
  <c r="F34" i="22"/>
  <c r="X22" i="22"/>
  <c r="F10" i="2" a="1"/>
  <c r="AH23" i="22"/>
  <c r="AD19" i="22"/>
  <c r="Q12" i="2" a="1"/>
  <c r="V40" i="21"/>
  <c r="G29" i="21"/>
  <c r="AF16" i="22"/>
  <c r="AH43" i="22"/>
  <c r="F13" i="2" a="1"/>
  <c r="G26" i="21"/>
  <c r="P25" i="21"/>
  <c r="V23" i="22"/>
  <c r="AO20" i="2" a="1"/>
  <c r="AB15" i="2" a="1"/>
  <c r="Q7" i="2" a="1"/>
  <c r="AC25" i="22"/>
  <c r="L24" i="22"/>
  <c r="L40" i="22"/>
  <c r="AA27" i="22"/>
  <c r="M12" i="2" a="1"/>
  <c r="Y18" i="21"/>
  <c r="Z35" i="22"/>
  <c r="AH31" i="22"/>
  <c r="AH30" i="22"/>
  <c r="G7" i="21"/>
  <c r="E39" i="22"/>
  <c r="G20" i="22"/>
  <c r="Q39" i="22"/>
  <c r="AB27" i="22"/>
  <c r="Q30" i="22"/>
  <c r="S36" i="22"/>
  <c r="I42" i="22"/>
  <c r="V13" i="22"/>
  <c r="AB4" i="22"/>
  <c r="P15" i="21"/>
  <c r="O33" i="22"/>
  <c r="AK26" i="2" a="1"/>
  <c r="AC28" i="2" a="1"/>
  <c r="AO26" i="2" a="1"/>
  <c r="AM30" i="2" a="1"/>
  <c r="AJ31" i="2" a="1"/>
  <c r="AA43" i="22"/>
  <c r="K38" i="22"/>
  <c r="AC14" i="22"/>
  <c r="H17" i="4"/>
  <c r="Z39" i="22"/>
  <c r="O28" i="22"/>
  <c r="N30" i="21"/>
  <c r="AM32" i="2" a="1"/>
  <c r="H26" i="4"/>
  <c r="L9" i="22"/>
  <c r="AA38" i="22"/>
  <c r="AG25" i="21"/>
  <c r="AA33" i="22"/>
  <c r="I24" i="22"/>
  <c r="AF21" i="22"/>
  <c r="X6" i="22"/>
  <c r="AF36" i="22"/>
  <c r="R33" i="21"/>
  <c r="AE37" i="22"/>
  <c r="O19" i="22"/>
  <c r="I15" i="21"/>
  <c r="S11" i="22"/>
  <c r="AH11" i="21"/>
  <c r="K34" i="21"/>
  <c r="L17" i="22"/>
  <c r="Q36" i="22"/>
  <c r="T15" i="22"/>
  <c r="P4" i="21"/>
  <c r="S30" i="21"/>
  <c r="AC13" i="22"/>
  <c r="Y34" i="22"/>
  <c r="L14" i="21"/>
  <c r="T21" i="22"/>
  <c r="S7" i="2" a="1"/>
  <c r="F10" i="22"/>
  <c r="AG12" i="22"/>
  <c r="AE39" i="22"/>
  <c r="E32" i="22"/>
  <c r="X34" i="22"/>
  <c r="AB37" i="22"/>
  <c r="O41" i="22"/>
  <c r="F37" i="22"/>
  <c r="G11" i="3" a="1"/>
  <c r="T39" i="22"/>
  <c r="X37" i="22"/>
  <c r="H8" i="4"/>
  <c r="E32" i="21"/>
  <c r="AG39" i="22"/>
  <c r="L33" i="22"/>
  <c r="E31" i="22"/>
  <c r="V7" i="22"/>
  <c r="X41" i="22"/>
  <c r="G26" i="4"/>
  <c r="G35" i="21"/>
  <c r="V18" i="21"/>
  <c r="L23" i="21"/>
  <c r="I20" i="21"/>
  <c r="G15" i="22"/>
  <c r="S7" i="22"/>
  <c r="AB18" i="21"/>
  <c r="W27" i="21"/>
  <c r="AC19" i="21"/>
  <c r="U7" i="21"/>
  <c r="W12" i="21"/>
  <c r="E11" i="21"/>
  <c r="V6" i="22"/>
  <c r="T24" i="21"/>
  <c r="F39" i="22"/>
  <c r="K7" i="2" a="1"/>
  <c r="AD17" i="22"/>
  <c r="W37" i="21"/>
  <c r="I6" i="2" a="1"/>
  <c r="H19" i="4"/>
  <c r="Q41" i="21"/>
  <c r="I17" i="21"/>
  <c r="O33" i="21"/>
  <c r="AH18" i="22"/>
  <c r="U38" i="22"/>
  <c r="H7" i="2" a="1"/>
  <c r="Y32" i="22"/>
  <c r="V12" i="22"/>
  <c r="AF30" i="22"/>
  <c r="T10" i="22"/>
  <c r="G18" i="4"/>
  <c r="G36" i="22"/>
  <c r="V8" i="21"/>
  <c r="AD36" i="22"/>
  <c r="G9" i="3" a="1"/>
  <c r="AE39" i="21"/>
  <c r="AD39" i="21"/>
  <c r="P8" i="2" a="1"/>
  <c r="R10" i="21"/>
  <c r="AA40" i="22"/>
  <c r="L40" i="21"/>
  <c r="M22" i="22"/>
  <c r="H25" i="4"/>
  <c r="AA6" i="21"/>
  <c r="I8" i="21"/>
  <c r="F8" i="2" a="1"/>
  <c r="P7" i="2" a="1"/>
  <c r="O40" i="22"/>
  <c r="T5" i="22"/>
  <c r="U5" i="22"/>
  <c r="O21" i="21"/>
  <c r="AA26" i="21"/>
  <c r="W31" i="21"/>
  <c r="T20" i="21"/>
  <c r="X14" i="22"/>
  <c r="V35" i="22"/>
  <c r="AC35" i="22"/>
  <c r="N4" i="21"/>
  <c r="AB9" i="22"/>
  <c r="S18" i="22"/>
  <c r="O15" i="21"/>
  <c r="AC27" i="22"/>
  <c r="V30" i="22"/>
  <c r="AF8" i="21"/>
  <c r="O8" i="21"/>
  <c r="G18" i="3" a="1"/>
  <c r="H12" i="4"/>
  <c r="F16" i="22"/>
  <c r="AB21" i="22"/>
  <c r="AB28" i="22"/>
  <c r="AE33" i="22"/>
  <c r="AC26" i="21"/>
  <c r="AG28" i="2" a="1"/>
  <c r="G8" i="4"/>
  <c r="AE32" i="22"/>
  <c r="S40" i="22"/>
  <c r="W21" i="22"/>
  <c r="N28" i="21"/>
  <c r="AD24" i="22"/>
  <c r="AH16" i="21"/>
  <c r="M43" i="22"/>
  <c r="K30" i="21"/>
  <c r="T18" i="22"/>
  <c r="G37" i="21"/>
  <c r="U40" i="21"/>
  <c r="AH34" i="22"/>
  <c r="G24" i="4"/>
  <c r="AC22" i="21"/>
  <c r="Y41" i="21"/>
  <c r="O11" i="22"/>
  <c r="AC39" i="22"/>
  <c r="Q42" i="21"/>
  <c r="AE28" i="21"/>
  <c r="AD14" i="21"/>
  <c r="W14" i="22"/>
  <c r="R7" i="21"/>
  <c r="W9" i="21"/>
  <c r="S22" i="21"/>
  <c r="T28" i="22"/>
  <c r="Y39" i="22"/>
  <c r="AG30" i="22"/>
  <c r="AF28" i="22"/>
  <c r="AD7" i="21"/>
  <c r="E42" i="22"/>
  <c r="S10" i="21"/>
  <c r="V29" i="22"/>
  <c r="K6" i="21"/>
  <c r="AF21" i="21"/>
  <c r="AC19" i="22"/>
  <c r="AC35" i="21"/>
  <c r="AK29" i="2" a="1"/>
  <c r="AH31" i="2" a="1"/>
  <c r="AJ20" i="2" a="1"/>
  <c r="AL15" i="2" a="1"/>
  <c r="AL18" i="2" a="1"/>
  <c r="AO19" i="2" a="1"/>
  <c r="AC19" i="2" a="1"/>
  <c r="AH26" i="2" a="1"/>
  <c r="G34" i="4"/>
  <c r="Y26" i="22"/>
  <c r="AD10" i="22"/>
  <c r="AC37" i="21"/>
  <c r="AG4" i="22"/>
  <c r="E28" i="22"/>
  <c r="AE23" i="21"/>
  <c r="L15" i="22"/>
  <c r="S20" i="22"/>
  <c r="V37" i="22"/>
  <c r="K35" i="22"/>
  <c r="S42" i="22"/>
  <c r="M31" i="21"/>
  <c r="H40" i="4"/>
  <c r="AH42" i="22"/>
  <c r="AE23" i="22"/>
  <c r="U6" i="22"/>
  <c r="L30" i="22"/>
  <c r="G18" i="22"/>
  <c r="AL20" i="2" a="1"/>
  <c r="AF31" i="2" a="1"/>
  <c r="N7" i="2" a="1"/>
  <c r="W22" i="22"/>
  <c r="AC36" i="21"/>
  <c r="H24" i="4"/>
  <c r="W35" i="22"/>
  <c r="Y33" i="22"/>
  <c r="L16" i="22"/>
  <c r="Q28" i="21"/>
  <c r="K33" i="22"/>
  <c r="S8" i="2" a="1"/>
  <c r="I10" i="2" a="1"/>
  <c r="U40" i="22"/>
  <c r="X15" i="22"/>
  <c r="K6" i="2" a="1"/>
  <c r="O38" i="22"/>
  <c r="S30" i="22"/>
  <c r="S11" i="2" a="1"/>
  <c r="Z23" i="22"/>
  <c r="Q21" i="22"/>
  <c r="G33" i="22"/>
  <c r="AD28" i="2" a="1"/>
  <c r="AN15" i="2" a="1"/>
  <c r="AG34" i="21"/>
  <c r="S32" i="22"/>
  <c r="X11" i="22"/>
  <c r="AB31" i="2" a="1"/>
  <c r="Y23" i="22"/>
  <c r="L31" i="22"/>
  <c r="N8" i="2" a="1"/>
  <c r="K28" i="22"/>
  <c r="I8" i="22"/>
  <c r="AG4" i="21"/>
  <c r="AH13" i="22"/>
  <c r="AC32" i="22"/>
  <c r="AC32" i="21"/>
  <c r="AH43" i="21"/>
  <c r="Y20" i="21"/>
  <c r="AC27" i="2" a="1"/>
  <c r="AN31" i="2" a="1"/>
  <c r="AA32" i="22"/>
  <c r="G35" i="4"/>
  <c r="AE24" i="21"/>
  <c r="Z7" i="21"/>
  <c r="Q20" i="21"/>
  <c r="AE43" i="22"/>
  <c r="M15" i="22"/>
  <c r="Z42" i="22"/>
  <c r="P16" i="21"/>
  <c r="AE17" i="21"/>
  <c r="AA32" i="21"/>
  <c r="K32" i="22"/>
  <c r="AC17" i="22"/>
  <c r="H42" i="4"/>
  <c r="U19" i="21"/>
  <c r="Z41" i="22"/>
  <c r="AC32" i="2" a="1"/>
  <c r="AI31" i="2" a="1"/>
  <c r="AK30" i="2" a="1"/>
  <c r="S25" i="22"/>
  <c r="Y8" i="21"/>
  <c r="T41" i="22"/>
  <c r="AC15" i="21"/>
  <c r="AA34" i="21"/>
  <c r="S39" i="22"/>
  <c r="AM16" i="2" a="1"/>
  <c r="H27" i="4"/>
  <c r="U30" i="22"/>
  <c r="Q23" i="21"/>
  <c r="H32" i="4"/>
  <c r="Y22" i="22"/>
  <c r="I43" i="22"/>
  <c r="W16" i="21"/>
  <c r="Q25" i="22"/>
  <c r="AC43" i="21"/>
  <c r="AA35" i="22"/>
  <c r="H4" i="4"/>
  <c r="Z18" i="22"/>
  <c r="Z16" i="22"/>
  <c r="E42" i="21"/>
  <c r="T20" i="22"/>
  <c r="Q11" i="2" a="1"/>
  <c r="T11" i="22"/>
  <c r="O20" i="22"/>
  <c r="O10" i="2" a="1"/>
  <c r="N9" i="2" a="1"/>
  <c r="K43" i="22"/>
  <c r="H30" i="4"/>
  <c r="Z28" i="22"/>
  <c r="U9" i="22"/>
  <c r="AH38" i="22"/>
  <c r="U25" i="21"/>
  <c r="Y29" i="22"/>
  <c r="AF5" i="21"/>
  <c r="W17" i="21"/>
  <c r="K15" i="22"/>
  <c r="U20" i="22"/>
  <c r="P23" i="21"/>
  <c r="O12" i="21"/>
  <c r="F17" i="22"/>
  <c r="P14" i="21"/>
  <c r="W38" i="21"/>
  <c r="W28" i="22"/>
  <c r="AF37" i="22"/>
  <c r="H11" i="4"/>
  <c r="Q9" i="21"/>
  <c r="O19" i="21"/>
  <c r="X25" i="22"/>
  <c r="AD8" i="21"/>
  <c r="G43" i="4"/>
  <c r="AE41" i="21"/>
  <c r="AF18" i="22"/>
  <c r="F21" i="22"/>
  <c r="Z39" i="21"/>
  <c r="G14" i="4"/>
  <c r="AD15" i="21"/>
  <c r="V9" i="22"/>
  <c r="O6" i="2" a="1"/>
  <c r="R39" i="21"/>
  <c r="AD42" i="21"/>
  <c r="X38" i="21"/>
  <c r="U30" i="21"/>
  <c r="V7" i="21"/>
  <c r="AE10" i="22"/>
  <c r="AA24" i="22"/>
  <c r="U43" i="22"/>
  <c r="V19" i="21"/>
  <c r="AG28" i="22"/>
  <c r="K10" i="2" a="1"/>
  <c r="F28" i="22"/>
  <c r="Q13" i="2" a="1"/>
  <c r="AF4" i="21"/>
  <c r="W26" i="21"/>
  <c r="H13" i="2" a="1"/>
  <c r="G23" i="4"/>
  <c r="AH40" i="22"/>
  <c r="Q37" i="21"/>
  <c r="S40" i="21"/>
  <c r="AH24" i="22"/>
  <c r="AD22" i="22"/>
  <c r="AN16" i="2" a="1"/>
  <c r="E20" i="22"/>
  <c r="AE30" i="22"/>
  <c r="AF31" i="22"/>
  <c r="H23" i="4"/>
  <c r="W36" i="22"/>
  <c r="I11" i="21"/>
  <c r="AF23" i="22"/>
  <c r="AE42" i="22"/>
  <c r="X41" i="21"/>
  <c r="AB38" i="22"/>
  <c r="AE20" i="2" a="1"/>
  <c r="AM19" i="2" a="1"/>
  <c r="I7" i="2" a="1"/>
  <c r="AG29" i="21"/>
  <c r="E18" i="22"/>
  <c r="H18" i="4"/>
  <c r="G13" i="2" a="1"/>
  <c r="M10" i="2" a="1"/>
  <c r="Q16" i="22"/>
  <c r="T37" i="21"/>
  <c r="G7" i="22"/>
  <c r="AD32" i="22"/>
  <c r="Z15" i="22"/>
  <c r="V40" i="22"/>
  <c r="S24" i="21"/>
  <c r="S13" i="2" a="1"/>
  <c r="X7" i="22"/>
  <c r="AF41" i="21"/>
  <c r="AD26" i="2" a="1"/>
  <c r="AC34" i="2" a="1"/>
  <c r="AJ22" i="2" a="1"/>
  <c r="AB22" i="22"/>
  <c r="M30" i="22"/>
  <c r="E38" i="22"/>
  <c r="AA41" i="22"/>
  <c r="O7" i="2" a="1"/>
  <c r="V24" i="21"/>
  <c r="AF15" i="2" a="1"/>
  <c r="AA36" i="22"/>
  <c r="AA28" i="22"/>
  <c r="G34" i="22"/>
  <c r="AG24" i="21"/>
  <c r="L36" i="22"/>
  <c r="Y10" i="22"/>
  <c r="N12" i="21"/>
  <c r="AD16" i="22"/>
  <c r="U11" i="22"/>
  <c r="K12" i="21"/>
  <c r="Y31" i="21"/>
  <c r="U25" i="22"/>
  <c r="AE14" i="21"/>
  <c r="AC13" i="21"/>
  <c r="S15" i="22"/>
  <c r="T32" i="22"/>
  <c r="P41" i="21"/>
  <c r="T35" i="22"/>
  <c r="H5" i="4"/>
  <c r="N16" i="21"/>
  <c r="V23" i="21"/>
  <c r="T15" i="21"/>
  <c r="AE34" i="22"/>
  <c r="AD13" i="21"/>
  <c r="F35" i="22"/>
  <c r="H34" i="4"/>
  <c r="G29" i="4"/>
  <c r="F42" i="22"/>
  <c r="Z32" i="21"/>
  <c r="G21" i="21"/>
  <c r="E4" i="21"/>
  <c r="G11" i="21"/>
  <c r="Q21" i="21"/>
  <c r="I12" i="22"/>
  <c r="AG18" i="21"/>
  <c r="X24" i="21"/>
  <c r="AB15" i="22"/>
  <c r="S8" i="22"/>
  <c r="AH31" i="21"/>
  <c r="AH39" i="21"/>
  <c r="AH10" i="21"/>
  <c r="W17" i="22"/>
  <c r="U10" i="22"/>
  <c r="AJ26" i="2" a="1"/>
  <c r="O30" i="21"/>
  <c r="AG12" i="21"/>
  <c r="M31" i="22"/>
  <c r="AE4" i="22"/>
  <c r="G42" i="4"/>
  <c r="L21" i="21"/>
  <c r="G22" i="22"/>
  <c r="AA43" i="21"/>
  <c r="S28" i="22"/>
  <c r="H7" i="4"/>
  <c r="U31" i="21"/>
  <c r="V22" i="21"/>
  <c r="Z11" i="21"/>
  <c r="X24" i="22"/>
  <c r="N42" i="21"/>
  <c r="S23" i="22"/>
  <c r="G20" i="4"/>
  <c r="N10" i="2" a="1"/>
  <c r="AH22" i="21"/>
  <c r="AB7" i="21"/>
  <c r="AG37" i="22"/>
  <c r="V20" i="22"/>
  <c r="AA9" i="21"/>
  <c r="O8" i="22"/>
  <c r="Z20" i="22"/>
  <c r="AC25" i="21"/>
  <c r="I6" i="21"/>
  <c r="AD38" i="22"/>
  <c r="L20" i="22"/>
  <c r="Y24" i="21"/>
  <c r="N38" i="21"/>
  <c r="G13" i="4"/>
  <c r="X36" i="22"/>
  <c r="AA39" i="21"/>
  <c r="M13" i="22"/>
  <c r="AG23" i="21"/>
  <c r="M20" i="22"/>
  <c r="V18" i="22"/>
  <c r="X5" i="21"/>
  <c r="I30" i="21"/>
  <c r="G11" i="2" a="1"/>
  <c r="G15" i="21"/>
  <c r="Z40" i="21"/>
  <c r="F16" i="4"/>
  <c r="K26" i="22"/>
  <c r="AF13" i="22"/>
  <c r="R13" i="21"/>
  <c r="Q26" i="22"/>
  <c r="K13" i="2" a="1"/>
  <c r="AC40" i="21"/>
  <c r="AH4" i="21"/>
  <c r="Y28" i="22"/>
  <c r="N18" i="21"/>
  <c r="AC4" i="22"/>
  <c r="AB27" i="2" a="1"/>
  <c r="AH35" i="22"/>
  <c r="AB5" i="22"/>
  <c r="Q24" i="21"/>
  <c r="E11" i="22"/>
  <c r="Q31" i="22"/>
  <c r="G12" i="4"/>
  <c r="F7" i="2" a="1"/>
  <c r="AD35" i="22"/>
  <c r="M11" i="22"/>
  <c r="AF40" i="21"/>
  <c r="X29" i="22"/>
  <c r="AE36" i="22"/>
  <c r="M42" i="22"/>
  <c r="Z35" i="21"/>
  <c r="S37" i="21"/>
  <c r="F22" i="22"/>
  <c r="Z16" i="21"/>
  <c r="AO18" i="2" a="1"/>
  <c r="AD16" i="2" a="1"/>
  <c r="AL21" i="2" a="1"/>
  <c r="U42" i="22"/>
  <c r="M37" i="22"/>
  <c r="K8" i="2" a="1"/>
  <c r="O4" i="22"/>
  <c r="Q22" i="21"/>
  <c r="AF35" i="21"/>
  <c r="AC36" i="22"/>
  <c r="V41" i="21"/>
  <c r="X28" i="21"/>
  <c r="AH30" i="21"/>
  <c r="S22" i="22"/>
  <c r="S23" i="21"/>
  <c r="K12" i="22"/>
  <c r="L26" i="22"/>
  <c r="I7" i="22"/>
  <c r="G39" i="22"/>
  <c r="Z31" i="21"/>
  <c r="K6" i="22"/>
  <c r="AH27" i="21"/>
  <c r="AD26" i="22"/>
  <c r="AE8" i="21"/>
  <c r="AC18" i="22"/>
  <c r="Q42" i="22"/>
  <c r="E19" i="21"/>
  <c r="AH20" i="21"/>
  <c r="J12" i="2" a="1"/>
  <c r="O40" i="21"/>
  <c r="AG43" i="21"/>
  <c r="AA40" i="21"/>
  <c r="T33" i="21"/>
  <c r="N6" i="2" a="1"/>
  <c r="AA12" i="22"/>
  <c r="AH11" i="22"/>
  <c r="AC31" i="22"/>
  <c r="X40" i="21"/>
  <c r="K12" i="2" a="1"/>
  <c r="Q18" i="22"/>
  <c r="AH32" i="21"/>
  <c r="AF13" i="21"/>
  <c r="Y38" i="21"/>
  <c r="Z27" i="21"/>
  <c r="AF25" i="21"/>
  <c r="AD22" i="21"/>
  <c r="AE18" i="21"/>
  <c r="U37" i="22"/>
  <c r="U41" i="22"/>
  <c r="E9" i="21"/>
  <c r="K16" i="21"/>
  <c r="AA4" i="21"/>
  <c r="K27" i="21"/>
  <c r="AF21" i="2" a="1"/>
  <c r="W41" i="22"/>
  <c r="V17" i="22"/>
  <c r="S41" i="22"/>
  <c r="J8" i="2" a="1"/>
  <c r="AD20" i="21"/>
  <c r="AC41" i="21"/>
  <c r="E24" i="21"/>
  <c r="G27" i="22"/>
  <c r="AE13" i="21"/>
  <c r="G41" i="4"/>
  <c r="G17" i="4"/>
  <c r="S24" i="22"/>
  <c r="O32" i="22"/>
  <c r="AF36" i="21"/>
  <c r="AF23" i="21"/>
  <c r="AG31" i="21"/>
  <c r="O35" i="22"/>
  <c r="U34" i="22"/>
  <c r="L11" i="2" a="1"/>
  <c r="AF6" i="21"/>
  <c r="P9" i="21"/>
  <c r="I22" i="22"/>
  <c r="Q29" i="22"/>
  <c r="K17" i="21"/>
  <c r="Z19" i="22"/>
  <c r="AB35" i="22"/>
  <c r="AC28" i="22"/>
  <c r="AF24" i="22"/>
  <c r="L13" i="21"/>
  <c r="N26" i="21"/>
  <c r="L35" i="21"/>
  <c r="H31" i="4"/>
  <c r="F5" i="4"/>
  <c r="AB41" i="22"/>
  <c r="AH15" i="21"/>
  <c r="T37" i="22"/>
  <c r="O6" i="22"/>
  <c r="X32" i="22"/>
  <c r="P40" i="21"/>
  <c r="AE21" i="22"/>
  <c r="AB32" i="21"/>
  <c r="K41" i="21"/>
  <c r="Z43" i="21"/>
  <c r="P7" i="21"/>
  <c r="AA39" i="22"/>
  <c r="AD31" i="2" a="1"/>
  <c r="L12" i="2" a="1"/>
  <c r="G30" i="4"/>
  <c r="AG22" i="22"/>
  <c r="O42" i="21"/>
  <c r="S13" i="22"/>
  <c r="AA16" i="21"/>
  <c r="AH41" i="21"/>
  <c r="E8" i="22"/>
  <c r="AE13" i="22"/>
  <c r="AD18" i="21"/>
  <c r="Q23" i="22"/>
  <c r="V26" i="22"/>
  <c r="Y17" i="22"/>
  <c r="E31" i="21"/>
  <c r="T24" i="22"/>
  <c r="O9" i="2" a="1"/>
  <c r="I32" i="21"/>
  <c r="AK31" i="2" a="1"/>
  <c r="AI19" i="2" a="1"/>
  <c r="AL28" i="2" a="1"/>
  <c r="J9" i="2" a="1"/>
  <c r="Q32" i="21"/>
  <c r="H37" i="4"/>
  <c r="AF20" i="21"/>
  <c r="X16" i="21"/>
  <c r="AA19" i="21"/>
  <c r="Q9" i="2" a="1"/>
  <c r="AA21" i="22"/>
  <c r="V10" i="22"/>
  <c r="Q10" i="2" a="1"/>
  <c r="Z26" i="22"/>
  <c r="AE27" i="22"/>
  <c r="AC8" i="22"/>
  <c r="V36" i="21"/>
  <c r="F20" i="22"/>
  <c r="AA10" i="22"/>
  <c r="U4" i="22"/>
  <c r="Z30" i="22"/>
  <c r="S10" i="22"/>
  <c r="Z10" i="21"/>
  <c r="AA17" i="22"/>
  <c r="T17" i="22"/>
  <c r="M32" i="21"/>
  <c r="T42" i="22"/>
  <c r="F30" i="22"/>
  <c r="H38" i="4"/>
  <c r="AH37" i="21"/>
  <c r="AD9" i="21"/>
  <c r="N10" i="21"/>
  <c r="T6" i="21"/>
  <c r="M27" i="22"/>
  <c r="S27" i="22"/>
  <c r="R14" i="21"/>
  <c r="Q17" i="22"/>
  <c r="K43" i="21"/>
  <c r="S34" i="22"/>
  <c r="I27" i="22"/>
  <c r="F10" i="4"/>
  <c r="I39" i="21"/>
  <c r="K8" i="21"/>
  <c r="AH6" i="21"/>
  <c r="P37" i="21"/>
  <c r="AB38" i="21"/>
  <c r="Q19" i="21"/>
  <c r="K4" i="22"/>
  <c r="Z34" i="22"/>
  <c r="I40" i="22"/>
  <c r="E10" i="4"/>
  <c r="T16" i="21"/>
  <c r="AM15" i="2" a="1"/>
  <c r="AB29" i="22"/>
  <c r="AG35" i="22"/>
  <c r="U27" i="22"/>
  <c r="S34" i="21"/>
  <c r="L36" i="21"/>
  <c r="K18" i="21"/>
  <c r="I31" i="21"/>
  <c r="P39" i="21"/>
  <c r="G10" i="4"/>
  <c r="Z13" i="21"/>
  <c r="Y35" i="21"/>
  <c r="AB22" i="21"/>
  <c r="H43" i="4"/>
  <c r="Q8" i="21"/>
  <c r="E14" i="21"/>
  <c r="Z25" i="21"/>
  <c r="AA20" i="22"/>
  <c r="K27" i="22"/>
  <c r="G16" i="4"/>
  <c r="AA23" i="22"/>
  <c r="E24" i="22"/>
  <c r="N12" i="2" a="1"/>
  <c r="G30" i="22"/>
  <c r="F31" i="22"/>
  <c r="E17" i="21"/>
  <c r="V34" i="22"/>
  <c r="S33" i="21"/>
  <c r="T40" i="21"/>
  <c r="V4" i="21"/>
  <c r="AB39" i="21"/>
  <c r="AE11" i="21"/>
  <c r="S26" i="21"/>
  <c r="E34" i="4"/>
  <c r="AG32" i="22"/>
  <c r="Y21" i="22"/>
  <c r="U7" i="22"/>
  <c r="X8" i="21"/>
  <c r="AE27" i="21"/>
  <c r="T22" i="21"/>
  <c r="AO31" i="2" a="1"/>
  <c r="AF42" i="22"/>
  <c r="T9" i="22"/>
  <c r="AA34" i="22"/>
  <c r="H15" i="4"/>
  <c r="K13" i="22"/>
  <c r="V32" i="21"/>
  <c r="W28" i="21"/>
  <c r="T43" i="22"/>
  <c r="P13" i="2" a="1"/>
  <c r="F36" i="22"/>
  <c r="E25" i="22"/>
  <c r="V33" i="21"/>
  <c r="Y18" i="22"/>
  <c r="W35" i="21"/>
  <c r="AD12" i="22"/>
  <c r="AF17" i="22"/>
  <c r="P19" i="21"/>
  <c r="L27" i="22"/>
  <c r="F11" i="22"/>
  <c r="T23" i="22"/>
  <c r="AE20" i="21"/>
  <c r="L35" i="22"/>
  <c r="R21" i="21"/>
  <c r="V21" i="21"/>
  <c r="E7" i="21"/>
  <c r="AC22" i="22"/>
  <c r="Z18" i="21"/>
  <c r="AF37" i="21"/>
  <c r="AH25" i="22"/>
  <c r="M14" i="21"/>
  <c r="Z6" i="22"/>
  <c r="U38" i="21"/>
  <c r="AB37" i="21"/>
  <c r="AC42" i="21"/>
  <c r="R6" i="21"/>
  <c r="X43" i="21"/>
  <c r="O14" i="21"/>
  <c r="Q22" i="22"/>
  <c r="Y25" i="22"/>
  <c r="T43" i="21"/>
  <c r="AE31" i="22"/>
  <c r="V19" i="22"/>
  <c r="G9" i="2" a="1"/>
  <c r="P42" i="21"/>
  <c r="AB7" i="22"/>
  <c r="V39" i="21"/>
  <c r="I25" i="21"/>
  <c r="U43" i="21"/>
  <c r="E21" i="21"/>
  <c r="Y42" i="22"/>
  <c r="P29" i="21"/>
  <c r="AF15" i="22"/>
  <c r="AG36" i="22"/>
  <c r="AD4" i="22"/>
  <c r="O29" i="21"/>
  <c r="R41" i="21"/>
  <c r="K28" i="21"/>
  <c r="M35" i="21"/>
  <c r="AB25" i="22"/>
  <c r="X42" i="21"/>
  <c r="L14" i="22"/>
  <c r="Y12" i="22"/>
  <c r="S12" i="2" a="1"/>
  <c r="S8" i="21"/>
  <c r="AF33" i="21"/>
  <c r="V14" i="22"/>
  <c r="L31" i="21"/>
  <c r="U11" i="21"/>
  <c r="I17" i="22"/>
  <c r="AF32" i="22"/>
  <c r="M39" i="22"/>
  <c r="AB29" i="21"/>
  <c r="AD19" i="21"/>
  <c r="U13" i="22"/>
  <c r="E18" i="21"/>
  <c r="U16" i="22"/>
  <c r="S21" i="21"/>
  <c r="AD24" i="21"/>
  <c r="AC9" i="21"/>
  <c r="AG15" i="22"/>
  <c r="H6" i="2" a="1"/>
  <c r="P8" i="21"/>
  <c r="K5" i="22"/>
  <c r="AD41" i="21"/>
  <c r="AC5" i="22"/>
  <c r="AG10" i="22"/>
  <c r="I26" i="21"/>
  <c r="G38" i="21"/>
  <c r="F9" i="22"/>
  <c r="E20" i="21"/>
  <c r="T6" i="22"/>
  <c r="AG28" i="21"/>
  <c r="AD27" i="21"/>
  <c r="O23" i="22"/>
  <c r="E28" i="4"/>
  <c r="R42" i="21"/>
  <c r="F34" i="4"/>
  <c r="E16" i="21"/>
  <c r="M41" i="22"/>
  <c r="AA8" i="21"/>
  <c r="L30" i="21"/>
  <c r="Q36" i="21"/>
  <c r="T33" i="22"/>
  <c r="AE5" i="21"/>
  <c r="AH15" i="22"/>
  <c r="AD27" i="22"/>
  <c r="S4" i="21"/>
  <c r="AH36" i="21"/>
  <c r="N13" i="2" a="1"/>
  <c r="L37" i="22"/>
  <c r="K30" i="22"/>
  <c r="AE26" i="21"/>
  <c r="S20" i="21"/>
  <c r="K42" i="21"/>
  <c r="AK34" i="2" a="1"/>
  <c r="K39" i="22"/>
  <c r="R6" i="2" a="1"/>
  <c r="AA11" i="21"/>
  <c r="AG26" i="22"/>
  <c r="M13" i="2" a="1"/>
  <c r="S5" i="22"/>
  <c r="AH42" i="21"/>
  <c r="T34" i="22"/>
  <c r="AG5" i="22"/>
  <c r="G21" i="22"/>
  <c r="V13" i="21"/>
  <c r="L13" i="2" a="1"/>
  <c r="AG14" i="21"/>
  <c r="Z14" i="22"/>
  <c r="P36" i="21"/>
  <c r="Y6" i="21"/>
  <c r="AF16" i="21"/>
  <c r="AG5" i="21"/>
  <c r="O28" i="21"/>
  <c r="AG35" i="21"/>
  <c r="AF29" i="22"/>
  <c r="W31" i="22"/>
  <c r="AB11" i="21"/>
  <c r="H21" i="4"/>
  <c r="X27" i="21"/>
  <c r="S6" i="22"/>
  <c r="Z29" i="22"/>
  <c r="O37" i="21"/>
  <c r="Z28" i="21"/>
  <c r="G29" i="22"/>
  <c r="Z5" i="21"/>
  <c r="G31" i="4"/>
  <c r="G31" i="22"/>
  <c r="AF8" i="22"/>
  <c r="Q9" i="22"/>
  <c r="AF10" i="22"/>
  <c r="AA17" i="21"/>
  <c r="AB42" i="22"/>
  <c r="E26" i="22"/>
  <c r="I5" i="22"/>
  <c r="V31" i="22"/>
  <c r="AH26" i="22"/>
  <c r="I36" i="22"/>
  <c r="AH17" i="22"/>
  <c r="H9" i="4"/>
  <c r="AF43" i="22"/>
  <c r="G17" i="21"/>
  <c r="E25" i="21"/>
  <c r="AA4" i="22"/>
  <c r="I19" i="22"/>
  <c r="AD37" i="22"/>
  <c r="AB13" i="22"/>
  <c r="Y30" i="21"/>
  <c r="R22" i="21"/>
  <c r="AC7" i="22"/>
  <c r="AE38" i="22"/>
  <c r="N27" i="21"/>
  <c r="V4" i="22"/>
  <c r="L27" i="21"/>
  <c r="U14" i="21"/>
  <c r="K33" i="21"/>
  <c r="W18" i="22"/>
  <c r="O13" i="2" a="1"/>
  <c r="K35" i="21"/>
  <c r="AG15" i="21"/>
  <c r="Y8" i="22"/>
  <c r="E21" i="22"/>
  <c r="Z10" i="22"/>
  <c r="G41" i="22"/>
  <c r="AG33" i="22"/>
  <c r="AH36" i="22"/>
  <c r="Y39" i="21"/>
  <c r="M18" i="21"/>
  <c r="E30" i="22"/>
  <c r="L26" i="21"/>
  <c r="K40" i="22"/>
  <c r="W34" i="22"/>
  <c r="X4" i="21"/>
  <c r="G30" i="21"/>
  <c r="Q26" i="21"/>
  <c r="E30" i="21"/>
  <c r="O43" i="21"/>
  <c r="N29" i="21"/>
  <c r="W5" i="21"/>
  <c r="I8" i="2" a="1"/>
  <c r="S6" i="21"/>
  <c r="N7" i="21"/>
  <c r="AD38" i="21"/>
  <c r="P38" i="21"/>
  <c r="G31" i="21"/>
  <c r="S18" i="21"/>
  <c r="G5" i="21"/>
  <c r="F13" i="22"/>
  <c r="V14" i="21"/>
  <c r="R8" i="21"/>
  <c r="AA19" i="22"/>
  <c r="P21" i="21"/>
  <c r="Q15" i="22"/>
  <c r="AH14" i="22"/>
  <c r="AG42" i="21"/>
  <c r="W15" i="22"/>
  <c r="S42" i="21"/>
  <c r="AF20" i="22"/>
  <c r="AF24" i="21"/>
  <c r="T38" i="22"/>
  <c r="T11" i="21"/>
  <c r="AH13" i="21"/>
  <c r="O26" i="22"/>
  <c r="AG24" i="22"/>
  <c r="AD8" i="22"/>
  <c r="AD16" i="21"/>
  <c r="AA26" i="22"/>
  <c r="AG27" i="21"/>
  <c r="Z17" i="22"/>
  <c r="AN22" i="2" a="1"/>
  <c r="M9" i="22"/>
  <c r="W26" i="22"/>
  <c r="AC4" i="21"/>
  <c r="K9" i="2" a="1"/>
  <c r="AB5" i="21"/>
  <c r="AB14" i="21"/>
  <c r="G5" i="22"/>
  <c r="V6" i="21"/>
  <c r="I11" i="2" a="1"/>
  <c r="M5" i="22"/>
  <c r="K40" i="21"/>
  <c r="Q20" i="22"/>
  <c r="AE30" i="21"/>
  <c r="P6" i="21"/>
  <c r="V24" i="22"/>
  <c r="AF34" i="22"/>
  <c r="U35" i="22"/>
  <c r="E22" i="21"/>
  <c r="F41" i="22"/>
  <c r="X33" i="22"/>
  <c r="E26" i="21"/>
  <c r="AE8" i="22"/>
  <c r="AA37" i="21"/>
  <c r="R32" i="21"/>
  <c r="O26" i="21"/>
  <c r="X13" i="22"/>
  <c r="I9" i="21"/>
  <c r="AB31" i="22"/>
  <c r="M10" i="21"/>
  <c r="O11" i="21"/>
  <c r="Q27" i="21"/>
  <c r="AD31" i="21"/>
  <c r="Q34" i="21"/>
  <c r="AC9" i="22"/>
  <c r="E22" i="4"/>
  <c r="G32" i="21"/>
  <c r="I11" i="22"/>
  <c r="K36" i="22"/>
  <c r="V33" i="22"/>
  <c r="Z23" i="21"/>
  <c r="K25" i="22"/>
  <c r="W33" i="22"/>
  <c r="W32" i="22"/>
  <c r="L23" i="22"/>
  <c r="U23" i="21"/>
  <c r="Y41" i="22"/>
  <c r="AB23" i="21"/>
  <c r="X39" i="21"/>
  <c r="X25" i="21"/>
  <c r="Y10" i="21"/>
  <c r="AC21" i="21"/>
  <c r="I9" i="2" a="1"/>
  <c r="N40" i="21"/>
  <c r="K21" i="21"/>
  <c r="Z42" i="21"/>
  <c r="P35" i="21"/>
  <c r="Y29" i="21"/>
  <c r="AG13" i="22"/>
  <c r="S37" i="22"/>
  <c r="M33" i="21"/>
  <c r="W22" i="21"/>
  <c r="E16" i="22"/>
  <c r="AB25" i="21"/>
  <c r="Y13" i="22"/>
  <c r="E35" i="22"/>
  <c r="AD40" i="22"/>
  <c r="T12" i="22"/>
  <c r="O6" i="21"/>
  <c r="M14" i="22"/>
  <c r="T7" i="21"/>
  <c r="V15" i="22"/>
  <c r="AH6" i="22"/>
  <c r="T7" i="22"/>
  <c r="AB32" i="22"/>
  <c r="X21" i="21"/>
  <c r="M16" i="21"/>
  <c r="I24" i="21"/>
  <c r="F7" i="22"/>
  <c r="AH9" i="22"/>
  <c r="AF9" i="22"/>
  <c r="G39" i="21"/>
  <c r="I23" i="21"/>
  <c r="AD23" i="22"/>
  <c r="H36" i="4"/>
  <c r="AD37" i="21"/>
  <c r="U22" i="21"/>
  <c r="X11" i="21"/>
  <c r="V28" i="21"/>
  <c r="Q34" i="22"/>
  <c r="E24" i="4"/>
  <c r="E38" i="4"/>
  <c r="AF29" i="21"/>
  <c r="O38" i="21"/>
  <c r="G12" i="21"/>
  <c r="M42" i="21"/>
  <c r="AD14" i="22"/>
  <c r="AB21" i="21"/>
  <c r="E42" i="4"/>
  <c r="N31" i="21"/>
  <c r="I4" i="22"/>
  <c r="X5" i="22"/>
  <c r="L34" i="22"/>
  <c r="U33" i="22"/>
  <c r="AH12" i="22"/>
  <c r="M4" i="21"/>
  <c r="AA14" i="22"/>
  <c r="Y16" i="21"/>
  <c r="L42" i="22"/>
  <c r="AD23" i="21"/>
  <c r="N22" i="21"/>
  <c r="E8" i="21"/>
  <c r="AG9" i="22"/>
  <c r="I21" i="21"/>
  <c r="W40" i="22"/>
  <c r="O30" i="22"/>
  <c r="E6" i="22"/>
  <c r="AE28" i="22"/>
  <c r="V26" i="21"/>
  <c r="AG21" i="21"/>
  <c r="S35" i="21"/>
  <c r="Y7" i="22"/>
  <c r="Y14" i="22"/>
  <c r="AE6" i="22"/>
  <c r="AC28" i="21"/>
  <c r="AG22" i="21"/>
  <c r="G9" i="21"/>
  <c r="T13" i="21"/>
  <c r="L18" i="21"/>
  <c r="T4" i="22"/>
  <c r="AG8" i="21"/>
  <c r="L19" i="22"/>
  <c r="AF31" i="21"/>
  <c r="E7" i="4"/>
  <c r="G10" i="3" a="1"/>
  <c r="Q19" i="22"/>
  <c r="H22" i="4"/>
  <c r="AB20" i="22"/>
  <c r="AG6" i="22"/>
  <c r="S38" i="22"/>
  <c r="R9" i="2" a="1"/>
  <c r="K41" i="22"/>
  <c r="X19" i="22"/>
  <c r="G25" i="21"/>
  <c r="L18" i="22"/>
  <c r="AD11" i="21"/>
  <c r="W11" i="21"/>
  <c r="AF26" i="22"/>
  <c r="AG8" i="22"/>
  <c r="AF32" i="21"/>
  <c r="K16" i="22"/>
  <c r="K22" i="22"/>
  <c r="U16" i="21"/>
  <c r="G11" i="22"/>
  <c r="X27" i="22"/>
  <c r="S29" i="22"/>
  <c r="AG38" i="22"/>
  <c r="G28" i="4"/>
  <c r="Q13" i="22"/>
  <c r="AG36" i="21"/>
  <c r="Y19" i="22"/>
  <c r="U37" i="21"/>
  <c r="AC41" i="22"/>
  <c r="P31" i="21"/>
  <c r="L41" i="22"/>
  <c r="X38" i="22"/>
  <c r="AB6" i="22"/>
  <c r="AB31" i="21"/>
  <c r="Z38" i="21"/>
  <c r="G36" i="21"/>
  <c r="X16" i="22"/>
  <c r="X42" i="22"/>
  <c r="G25" i="22"/>
  <c r="P20" i="21"/>
  <c r="Z34" i="21"/>
  <c r="Z33" i="22"/>
  <c r="W30" i="22"/>
  <c r="AE16" i="21"/>
  <c r="L6" i="2" a="1"/>
  <c r="L22" i="22"/>
  <c r="W39" i="21"/>
  <c r="Q4" i="22"/>
  <c r="X43" i="22"/>
  <c r="AA14" i="21"/>
  <c r="Z11" i="22"/>
  <c r="Y4" i="22"/>
  <c r="F12" i="2" a="1"/>
  <c r="L8" i="22"/>
  <c r="O14" i="22"/>
  <c r="U12" i="22"/>
  <c r="I38" i="22"/>
  <c r="AH21" i="21"/>
  <c r="AA29" i="21"/>
  <c r="G23" i="22"/>
  <c r="Z37" i="22"/>
  <c r="AD36" i="21"/>
  <c r="G43" i="22"/>
  <c r="AB43" i="22"/>
  <c r="M38" i="21"/>
  <c r="U24" i="21"/>
  <c r="F29" i="4"/>
  <c r="R12" i="21"/>
  <c r="AB40" i="22"/>
  <c r="AC38" i="21"/>
  <c r="AA33" i="21"/>
  <c r="K29" i="22"/>
  <c r="R27" i="21"/>
  <c r="AB36" i="21"/>
  <c r="M35" i="22"/>
  <c r="O5" i="2" a="1"/>
  <c r="Z14" i="21"/>
  <c r="S25" i="21"/>
  <c r="AC10" i="22"/>
  <c r="G9" i="4"/>
  <c r="W9" i="22"/>
  <c r="AG11" i="22"/>
  <c r="AF38" i="22"/>
  <c r="G4" i="21"/>
  <c r="O27" i="21"/>
  <c r="Q10" i="22"/>
  <c r="AB24" i="21"/>
  <c r="V16" i="21"/>
  <c r="E13" i="21"/>
  <c r="R43" i="21"/>
  <c r="W34" i="21"/>
  <c r="X17" i="22"/>
  <c r="K5" i="21"/>
  <c r="R19" i="21"/>
  <c r="F21" i="4"/>
  <c r="E21" i="4"/>
  <c r="U8" i="21"/>
  <c r="AH26" i="21"/>
  <c r="G5" i="4"/>
  <c r="M16" i="22"/>
  <c r="AC15" i="22"/>
  <c r="Y31" i="22"/>
  <c r="T29" i="22"/>
  <c r="AB4" i="21"/>
  <c r="O7" i="21"/>
  <c r="Z41" i="21"/>
  <c r="Y42" i="21"/>
  <c r="U36" i="21"/>
  <c r="L6" i="21"/>
  <c r="V17" i="21"/>
  <c r="Q33" i="21"/>
  <c r="T17" i="21"/>
  <c r="AG23" i="22"/>
  <c r="M5" i="21"/>
  <c r="V11" i="21"/>
  <c r="K29" i="21"/>
  <c r="AA30" i="21"/>
  <c r="AG20" i="21"/>
  <c r="AE43" i="21"/>
  <c r="AH41" i="22"/>
  <c r="AH8" i="22"/>
  <c r="Q7" i="21"/>
  <c r="U17" i="22"/>
  <c r="Q8" i="2" a="1"/>
  <c r="H4" i="21"/>
  <c r="AB19" i="22"/>
  <c r="U13" i="21"/>
  <c r="R5" i="2" a="1"/>
  <c r="AD35" i="21"/>
  <c r="M11" i="2" a="1"/>
  <c r="AG32" i="21"/>
  <c r="I20" i="22"/>
  <c r="AH4" i="22"/>
  <c r="N34" i="21"/>
  <c r="E34" i="21"/>
  <c r="F15" i="22"/>
  <c r="V11" i="22"/>
  <c r="AE42" i="21"/>
  <c r="G15" i="3" a="1"/>
  <c r="T25" i="22"/>
  <c r="AD18" i="22"/>
  <c r="Z22" i="22"/>
  <c r="L8" i="21"/>
  <c r="U27" i="21"/>
  <c r="AB14" i="22"/>
  <c r="G40" i="22"/>
  <c r="AF7" i="22"/>
  <c r="Y15" i="22"/>
  <c r="AG17" i="21"/>
  <c r="G13" i="3" a="1"/>
  <c r="U17" i="21"/>
  <c r="Y19" i="21"/>
  <c r="X10" i="21"/>
  <c r="P26" i="21"/>
  <c r="I15" i="22"/>
  <c r="U36" i="22"/>
  <c r="G5" i="2" a="1"/>
  <c r="S29" i="21"/>
  <c r="L22" i="21"/>
  <c r="AD5" i="21"/>
  <c r="AF30" i="21"/>
  <c r="M30" i="21"/>
  <c r="F7" i="4"/>
  <c r="AC17" i="21"/>
  <c r="AE31" i="21"/>
  <c r="X12" i="22"/>
  <c r="AH19" i="21"/>
  <c r="X17" i="21"/>
  <c r="AH34" i="21"/>
  <c r="Z9" i="21"/>
  <c r="E29" i="22"/>
  <c r="M24" i="22"/>
  <c r="M8" i="2" a="1"/>
  <c r="Q32" i="22"/>
  <c r="G17" i="3" a="1"/>
  <c r="AB20" i="21"/>
  <c r="F25" i="4"/>
  <c r="Y17" i="21"/>
  <c r="O27" i="22"/>
  <c r="AF34" i="21"/>
  <c r="G23" i="21"/>
  <c r="I21" i="22"/>
  <c r="Q28" i="22"/>
  <c r="O22" i="21"/>
  <c r="M41" i="21"/>
  <c r="N23" i="21"/>
  <c r="W20" i="21"/>
  <c r="F28" i="4"/>
  <c r="I27" i="21"/>
  <c r="AG16" i="21"/>
  <c r="AH19" i="22"/>
  <c r="AF27" i="22"/>
  <c r="I29" i="22"/>
  <c r="X20" i="22"/>
  <c r="K25" i="21"/>
  <c r="L12" i="22"/>
  <c r="R24" i="21"/>
  <c r="Y30" i="22"/>
  <c r="AF10" i="21"/>
  <c r="U5" i="21"/>
  <c r="U32" i="21"/>
  <c r="AA42" i="21"/>
  <c r="AF42" i="21"/>
  <c r="U23" i="22"/>
  <c r="U39" i="21"/>
  <c r="AH25" i="21"/>
  <c r="K7" i="21"/>
  <c r="Z21" i="21"/>
  <c r="W25" i="21"/>
  <c r="F9" i="4"/>
  <c r="I33" i="21"/>
  <c r="M29" i="21"/>
  <c r="G37" i="22"/>
  <c r="G34" i="21"/>
  <c r="AB13" i="21"/>
  <c r="T14" i="21"/>
  <c r="I36" i="21"/>
  <c r="V43" i="21"/>
  <c r="P18" i="21"/>
  <c r="AE10" i="21"/>
  <c r="F24" i="4"/>
  <c r="L43" i="22"/>
  <c r="O35" i="21"/>
  <c r="AA13" i="21"/>
  <c r="N9" i="21"/>
  <c r="T14" i="22"/>
  <c r="G16" i="3" a="1"/>
  <c r="T16" i="22"/>
  <c r="O21" i="22"/>
  <c r="F26" i="4"/>
  <c r="S14" i="22"/>
  <c r="AH28" i="22"/>
  <c r="Y25" i="21"/>
  <c r="F19" i="4"/>
  <c r="S14" i="21"/>
  <c r="K10" i="21"/>
  <c r="E40" i="4"/>
  <c r="N32" i="21"/>
  <c r="W33" i="21"/>
  <c r="G17" i="22"/>
  <c r="M21" i="22"/>
  <c r="Q40" i="21"/>
  <c r="E35" i="21"/>
  <c r="Q5" i="21"/>
  <c r="X15" i="21"/>
  <c r="AB15" i="21"/>
  <c r="E6" i="4"/>
  <c r="Y23" i="21"/>
  <c r="F38" i="4"/>
  <c r="AG27" i="22"/>
  <c r="F36" i="4"/>
  <c r="AG9" i="21"/>
  <c r="F33" i="4"/>
  <c r="AG11" i="21"/>
  <c r="AA29" i="22"/>
  <c r="AE4" i="21"/>
  <c r="Z5" i="22"/>
  <c r="T28" i="21"/>
  <c r="E15" i="4"/>
  <c r="AE9" i="21"/>
  <c r="E22" i="22"/>
  <c r="I28" i="21"/>
  <c r="W43" i="22"/>
  <c r="AE22" i="22"/>
  <c r="M34" i="21"/>
  <c r="O9" i="21"/>
  <c r="AA41" i="21"/>
  <c r="AG21" i="22"/>
  <c r="W5" i="22"/>
  <c r="G28" i="21"/>
  <c r="G27" i="21"/>
  <c r="F6" i="22"/>
  <c r="G42" i="21"/>
  <c r="L29" i="22"/>
  <c r="AB26" i="21"/>
  <c r="Y16" i="22"/>
  <c r="AE14" i="22"/>
  <c r="I13" i="21"/>
  <c r="AA25" i="21"/>
  <c r="AB12" i="21"/>
  <c r="AH33" i="21"/>
  <c r="X32" i="21"/>
  <c r="O18" i="22"/>
  <c r="R12" i="2" a="1"/>
  <c r="N24" i="21"/>
  <c r="E6" i="21"/>
  <c r="N36" i="21"/>
  <c r="U4" i="21"/>
  <c r="AE12" i="21"/>
  <c r="AA31" i="21"/>
  <c r="L25" i="21"/>
  <c r="I43" i="21"/>
  <c r="Y4" i="21"/>
  <c r="O13" i="22"/>
  <c r="O23" i="21"/>
  <c r="L37" i="21"/>
  <c r="Y5" i="21"/>
  <c r="Q12" i="21"/>
  <c r="N5" i="2" a="1"/>
  <c r="E19" i="4"/>
  <c r="I37" i="21"/>
  <c r="T35" i="21"/>
  <c r="I30" i="22"/>
  <c r="AC20" i="21"/>
  <c r="E41" i="21"/>
  <c r="AG33" i="21"/>
  <c r="AG20" i="22"/>
  <c r="S17" i="21"/>
  <c r="AC16" i="21"/>
  <c r="AA10" i="21"/>
  <c r="X23" i="22"/>
  <c r="N11" i="21"/>
  <c r="AD13" i="22"/>
  <c r="N43" i="21"/>
  <c r="Z9" i="22"/>
  <c r="Z36" i="22"/>
  <c r="AE9" i="22"/>
  <c r="S15" i="21"/>
  <c r="O24" i="21"/>
  <c r="M23" i="21"/>
  <c r="AH28" i="21"/>
  <c r="L38" i="21"/>
  <c r="W19" i="21"/>
  <c r="Q24" i="22"/>
  <c r="I16" i="21"/>
  <c r="K15" i="21"/>
  <c r="R38" i="21"/>
  <c r="N17" i="21"/>
  <c r="N41" i="21"/>
  <c r="E16" i="4"/>
  <c r="G6" i="21"/>
  <c r="L4" i="22"/>
  <c r="K36" i="21"/>
  <c r="AB23" i="22"/>
  <c r="Q18" i="21"/>
  <c r="W20" i="22"/>
  <c r="S16" i="22"/>
  <c r="S27" i="21"/>
  <c r="X37" i="21"/>
  <c r="T26" i="22"/>
  <c r="P32" i="21"/>
  <c r="W18" i="21"/>
  <c r="H33" i="4"/>
  <c r="E25" i="4"/>
  <c r="L5" i="22"/>
  <c r="W39" i="22"/>
  <c r="K37" i="21"/>
  <c r="L38" i="22"/>
  <c r="AE37" i="21"/>
  <c r="AB39" i="22"/>
  <c r="G33" i="4"/>
  <c r="W21" i="21"/>
  <c r="M21" i="21"/>
  <c r="K9" i="21"/>
  <c r="M6" i="21"/>
  <c r="E5" i="4"/>
  <c r="AA5" i="21"/>
  <c r="Z31" i="22"/>
  <c r="E23" i="21"/>
  <c r="AG37" i="21"/>
  <c r="Y21" i="21"/>
  <c r="Z24" i="21"/>
  <c r="Q39" i="21"/>
  <c r="AF11" i="21"/>
  <c r="AE15" i="21"/>
  <c r="K11" i="22"/>
  <c r="L32" i="21"/>
  <c r="E37" i="4"/>
  <c r="O39" i="22"/>
  <c r="F41" i="4"/>
  <c r="F40" i="4"/>
  <c r="P10" i="2" a="1"/>
  <c r="U21" i="21"/>
  <c r="AH20" i="22"/>
  <c r="AH35" i="21"/>
  <c r="E39" i="21"/>
  <c r="M8" i="22"/>
  <c r="O29" i="22"/>
  <c r="H39" i="4"/>
  <c r="Q15" i="21"/>
  <c r="G18" i="21"/>
  <c r="G8" i="3" a="1"/>
  <c r="L15" i="21"/>
  <c r="T13" i="22"/>
  <c r="AF6" i="22"/>
  <c r="K11" i="2" a="1"/>
  <c r="Q35" i="22"/>
  <c r="AG31" i="22"/>
  <c r="O20" i="21"/>
  <c r="U15" i="22"/>
  <c r="S12" i="22"/>
  <c r="AA18" i="22"/>
  <c r="V25" i="22"/>
  <c r="AE15" i="22"/>
  <c r="T30" i="21"/>
  <c r="I25" i="22"/>
  <c r="X30" i="22"/>
  <c r="N20" i="21"/>
  <c r="G16" i="22"/>
  <c r="S19" i="22"/>
  <c r="AF38" i="21"/>
  <c r="Q30" i="21"/>
  <c r="Y40" i="21"/>
  <c r="I42" i="21"/>
  <c r="M9" i="21"/>
  <c r="V37" i="21"/>
  <c r="G39" i="4"/>
  <c r="AD25" i="22"/>
  <c r="E5" i="22"/>
  <c r="E5" i="21"/>
  <c r="M17" i="21"/>
  <c r="AA28" i="21"/>
  <c r="G19" i="3" a="1"/>
  <c r="M25" i="22"/>
  <c r="I9" i="22"/>
  <c r="U28" i="22"/>
  <c r="S32" i="21"/>
  <c r="Z4" i="22"/>
  <c r="K11" i="21"/>
  <c r="AC37" i="22"/>
  <c r="I10" i="21"/>
  <c r="Z24" i="22"/>
  <c r="Z8" i="21"/>
  <c r="AE19" i="22"/>
  <c r="AB18" i="22"/>
  <c r="AG16" i="22"/>
  <c r="AA22" i="22"/>
  <c r="G35" i="22"/>
  <c r="AH38" i="21"/>
  <c r="AH33" i="22"/>
  <c r="N15" i="21"/>
  <c r="T21" i="21"/>
  <c r="O7" i="22"/>
  <c r="T18" i="21"/>
  <c r="E12" i="21"/>
  <c r="AH10" i="22"/>
  <c r="W12" i="22"/>
  <c r="E12" i="22"/>
  <c r="G19" i="22"/>
  <c r="O10" i="22"/>
  <c r="F23" i="4"/>
  <c r="M7" i="22"/>
  <c r="E43" i="4"/>
  <c r="AC23" i="22"/>
  <c r="H10" i="2" a="1"/>
  <c r="F19" i="22"/>
  <c r="X31" i="21"/>
  <c r="I4" i="21"/>
  <c r="K24" i="22"/>
  <c r="R4" i="21"/>
  <c r="AH24" i="21"/>
  <c r="F14" i="22"/>
  <c r="U35" i="21"/>
  <c r="AE32" i="21"/>
  <c r="AC33" i="21"/>
  <c r="P5" i="2" a="1"/>
  <c r="N14" i="21"/>
  <c r="M12" i="21"/>
  <c r="F26" i="22"/>
  <c r="AC38" i="22"/>
  <c r="AA35" i="21"/>
  <c r="AD43" i="22"/>
  <c r="X14" i="21"/>
  <c r="AA16" i="22"/>
  <c r="E14" i="22"/>
  <c r="F22" i="4"/>
  <c r="AE22" i="21"/>
  <c r="V10" i="21"/>
  <c r="AA30" i="22"/>
  <c r="Q43" i="22"/>
  <c r="AC40" i="22"/>
  <c r="AH29" i="21"/>
  <c r="AB24" i="22"/>
  <c r="S19" i="21"/>
  <c r="H12" i="2" a="1"/>
  <c r="G42" i="22"/>
  <c r="AE7" i="22"/>
  <c r="F5" i="22"/>
  <c r="M27" i="21"/>
  <c r="AB8" i="22"/>
  <c r="AB36" i="22"/>
  <c r="S16" i="21"/>
  <c r="E33" i="21"/>
  <c r="AC31" i="21"/>
  <c r="I28" i="22"/>
  <c r="X29" i="21"/>
  <c r="R36" i="21"/>
  <c r="F5" i="21"/>
  <c r="I41" i="22"/>
  <c r="AG42" i="22"/>
  <c r="Y6" i="22"/>
  <c r="M22" i="21"/>
  <c r="U18" i="21"/>
  <c r="AD11" i="22"/>
  <c r="AD17" i="21"/>
  <c r="O13" i="21"/>
  <c r="AA22" i="21"/>
  <c r="P11" i="21"/>
  <c r="E40" i="22"/>
  <c r="F32" i="4"/>
  <c r="F4" i="21"/>
  <c r="P24" i="21"/>
  <c r="W23" i="22"/>
  <c r="W30" i="21"/>
  <c r="T8" i="21"/>
  <c r="L9" i="21"/>
  <c r="E37" i="21"/>
  <c r="AA12" i="21"/>
  <c r="N33" i="21"/>
  <c r="AB10" i="22"/>
  <c r="AF22" i="22"/>
  <c r="AG30" i="21"/>
  <c r="AH5" i="21"/>
  <c r="T39" i="21"/>
  <c r="O4" i="21"/>
  <c r="E8" i="4"/>
  <c r="V8" i="22"/>
  <c r="R11" i="21"/>
  <c r="M13" i="21"/>
  <c r="AF27" i="21"/>
  <c r="V22" i="22"/>
  <c r="AE40" i="21"/>
  <c r="AF39" i="21"/>
  <c r="AE36" i="21"/>
  <c r="G20" i="21"/>
  <c r="AE26" i="22"/>
  <c r="G14" i="21"/>
  <c r="AD34" i="22"/>
  <c r="Z17" i="21"/>
  <c r="N35" i="21"/>
  <c r="W10" i="22"/>
  <c r="AD21" i="21"/>
  <c r="AD7" i="22"/>
  <c r="X20" i="21"/>
  <c r="AH9" i="21"/>
  <c r="G13" i="22"/>
  <c r="R34" i="21"/>
  <c r="Z12" i="22"/>
  <c r="L8" i="2" a="1"/>
  <c r="U29" i="22"/>
  <c r="Z12" i="21"/>
  <c r="Q4" i="21"/>
  <c r="K24" i="21"/>
  <c r="F20" i="4"/>
  <c r="M37" i="21"/>
  <c r="AD42" i="22"/>
  <c r="S39" i="21"/>
  <c r="V31" i="21"/>
  <c r="V38" i="21"/>
  <c r="AA15" i="22"/>
  <c r="I10" i="22"/>
  <c r="T34" i="21"/>
  <c r="T27" i="22"/>
  <c r="M39" i="21"/>
  <c r="P17" i="21"/>
  <c r="I40" i="21"/>
  <c r="E34" i="22"/>
  <c r="G22" i="21"/>
  <c r="Z38" i="22"/>
  <c r="AC26" i="22"/>
  <c r="M17" i="22"/>
  <c r="AA23" i="21"/>
  <c r="I18" i="21"/>
  <c r="AG14" i="22"/>
  <c r="Y34" i="21"/>
  <c r="AA36" i="21"/>
  <c r="X12" i="21"/>
  <c r="K19" i="21"/>
  <c r="O39" i="21"/>
  <c r="F17" i="4"/>
  <c r="E36" i="4"/>
  <c r="Z37" i="21"/>
  <c r="Q11" i="21"/>
  <c r="AB40" i="21"/>
  <c r="R35" i="21"/>
  <c r="E19" i="22"/>
  <c r="L5" i="2" a="1"/>
  <c r="J5" i="2" a="1"/>
  <c r="E32" i="4"/>
  <c r="G24" i="21"/>
  <c r="X30" i="21"/>
  <c r="F14" i="4"/>
  <c r="X6" i="21"/>
  <c r="P30" i="21"/>
  <c r="Q7" i="22"/>
  <c r="AB27" i="21"/>
  <c r="AF9" i="21"/>
  <c r="P10" i="21"/>
  <c r="Z4" i="21"/>
  <c r="T41" i="21"/>
  <c r="AF17" i="21"/>
  <c r="AC16" i="22"/>
  <c r="I18" i="22"/>
  <c r="AA7" i="22"/>
  <c r="AC30" i="21"/>
  <c r="AB33" i="21"/>
  <c r="U31" i="22"/>
  <c r="AH27" i="22"/>
  <c r="L33" i="21"/>
  <c r="E40" i="21"/>
  <c r="I19" i="21"/>
  <c r="F39" i="4"/>
  <c r="AD30" i="21"/>
  <c r="AH8" i="21"/>
  <c r="AC6" i="21"/>
  <c r="E29" i="4"/>
  <c r="W29" i="21"/>
  <c r="Q37" i="22"/>
  <c r="N6" i="21"/>
  <c r="H5" i="2" a="1"/>
  <c r="F8" i="4"/>
  <c r="M6" i="22"/>
  <c r="AD41" i="22"/>
  <c r="T42" i="21"/>
  <c r="AF22" i="21"/>
  <c r="K10" i="22"/>
  <c r="I23" i="22"/>
  <c r="O31" i="22"/>
  <c r="AF28" i="21"/>
  <c r="AH5" i="22"/>
  <c r="Q43" i="21"/>
  <c r="AF33" i="22"/>
  <c r="M36" i="22"/>
  <c r="T26" i="21"/>
  <c r="L28" i="22"/>
  <c r="O41" i="21"/>
  <c r="AD29" i="22"/>
  <c r="N37" i="21"/>
  <c r="K42" i="22"/>
  <c r="AF11" i="22"/>
  <c r="W16" i="22"/>
  <c r="W29" i="22"/>
  <c r="Q14" i="21"/>
  <c r="Z19" i="21"/>
  <c r="S13" i="21"/>
  <c r="AF14" i="22"/>
  <c r="AH7" i="22"/>
  <c r="M40" i="21"/>
  <c r="Z32" i="22"/>
  <c r="F29" i="22"/>
  <c r="AD40" i="21"/>
  <c r="W38" i="22"/>
  <c r="G22" i="4"/>
  <c r="AF7" i="21"/>
  <c r="AE16" i="22"/>
  <c r="O11" i="2" a="1"/>
  <c r="O9" i="22"/>
  <c r="G32" i="22"/>
  <c r="G33" i="21"/>
  <c r="AE34" i="21"/>
  <c r="R40" i="21"/>
  <c r="AG41" i="21"/>
  <c r="K4" i="21"/>
  <c r="AE11" i="22"/>
  <c r="E27" i="4"/>
  <c r="AB42" i="21"/>
  <c r="E39" i="4"/>
  <c r="Y22" i="21"/>
  <c r="AE5" i="22"/>
  <c r="O17" i="21"/>
  <c r="AD5" i="22"/>
  <c r="O5" i="22"/>
  <c r="X36" i="21"/>
  <c r="AD30" i="22"/>
  <c r="AH12" i="21"/>
  <c r="K31" i="21"/>
  <c r="W6" i="22"/>
  <c r="Q5" i="22"/>
  <c r="AE25" i="21"/>
  <c r="X4" i="22"/>
  <c r="M28" i="22"/>
  <c r="Y27" i="22"/>
  <c r="S9" i="22"/>
  <c r="O32" i="21"/>
  <c r="Q5" i="2" a="1"/>
  <c r="X9" i="21"/>
  <c r="G6" i="3" a="1"/>
  <c r="R29" i="21"/>
  <c r="W37" i="22"/>
  <c r="U26" i="22"/>
  <c r="K8" i="22"/>
  <c r="K18" i="22"/>
  <c r="W10" i="21"/>
  <c r="U26" i="21"/>
  <c r="L41" i="21"/>
  <c r="G43" i="21"/>
  <c r="G8" i="2" a="1"/>
  <c r="Q14" i="22"/>
  <c r="L9" i="2" a="1"/>
  <c r="U20" i="21"/>
  <c r="G36" i="4"/>
  <c r="M29" i="22"/>
  <c r="AD34" i="21"/>
  <c r="U8" i="22"/>
  <c r="Q35" i="21"/>
  <c r="AD32" i="21"/>
  <c r="AB41" i="21"/>
  <c r="G37" i="4"/>
  <c r="X33" i="21"/>
  <c r="R25" i="21"/>
  <c r="AG19" i="22"/>
  <c r="X7" i="21"/>
  <c r="I12" i="21"/>
  <c r="S9" i="2" a="1"/>
  <c r="K14" i="21"/>
  <c r="Y15" i="21"/>
  <c r="AC10" i="21"/>
  <c r="Z21" i="22"/>
  <c r="T36" i="21"/>
  <c r="E9" i="22"/>
  <c r="U34" i="21"/>
  <c r="AG34" i="22"/>
  <c r="AA27" i="21"/>
  <c r="E17" i="22"/>
  <c r="L24" i="21"/>
  <c r="W6" i="21"/>
  <c r="AD33" i="21"/>
  <c r="F32" i="22"/>
  <c r="O42" i="22"/>
  <c r="L19" i="21"/>
  <c r="AA24" i="21"/>
  <c r="L6" i="22"/>
  <c r="F24" i="22"/>
  <c r="AE35" i="22"/>
  <c r="M24" i="21"/>
  <c r="AB16" i="22"/>
  <c r="T23" i="21"/>
  <c r="V38" i="22"/>
  <c r="R17" i="21"/>
  <c r="M36" i="21"/>
  <c r="AB16" i="21"/>
  <c r="G6" i="22"/>
  <c r="AG10" i="21"/>
  <c r="AA21" i="21"/>
  <c r="L39" i="21"/>
  <c r="V43" i="22"/>
  <c r="V21" i="22"/>
  <c r="AC43" i="22"/>
  <c r="P13" i="21"/>
  <c r="M26" i="21"/>
  <c r="AH32" i="22"/>
  <c r="Q38" i="21"/>
  <c r="F12" i="22"/>
  <c r="AD9" i="22"/>
  <c r="Z22" i="21"/>
  <c r="M12" i="22"/>
  <c r="X40" i="22"/>
  <c r="V20" i="21"/>
  <c r="F37" i="4"/>
  <c r="F43" i="4"/>
  <c r="R9" i="21"/>
  <c r="E35" i="4"/>
  <c r="E4" i="22"/>
  <c r="AB17" i="21"/>
  <c r="N25" i="21"/>
  <c r="AF26" i="21"/>
  <c r="M8" i="21"/>
  <c r="AF39" i="22"/>
  <c r="Q8" i="22"/>
  <c r="G9" i="22"/>
  <c r="I6" i="22"/>
  <c r="AE29" i="21"/>
  <c r="S38" i="21"/>
  <c r="AE35" i="21"/>
  <c r="U6" i="21"/>
  <c r="F12" i="4"/>
  <c r="V15" i="21"/>
  <c r="P43" i="21"/>
  <c r="O24" i="22"/>
  <c r="E10" i="21"/>
  <c r="E18" i="4"/>
  <c r="AE19" i="21"/>
  <c r="X18" i="22"/>
  <c r="W15" i="21"/>
  <c r="O34" i="21"/>
  <c r="I34" i="22"/>
  <c r="L32" i="22"/>
  <c r="AE38" i="21"/>
  <c r="E10" i="22"/>
  <c r="AA20" i="21"/>
  <c r="P27" i="21"/>
  <c r="AD28" i="21"/>
  <c r="AC12" i="22"/>
  <c r="M28" i="21"/>
  <c r="G7" i="3" a="1"/>
  <c r="E29" i="21"/>
  <c r="H28" i="4"/>
  <c r="V12" i="21"/>
  <c r="R15" i="21"/>
  <c r="L42" i="21"/>
  <c r="I14" i="21"/>
  <c r="Z6" i="21"/>
  <c r="AB10" i="21"/>
  <c r="S12" i="21"/>
  <c r="G21" i="4"/>
  <c r="K39" i="21"/>
  <c r="AD43" i="21"/>
  <c r="S43" i="21"/>
  <c r="U28" i="21"/>
  <c r="Y32" i="21"/>
  <c r="F6" i="4"/>
  <c r="K13" i="21"/>
  <c r="S7" i="21"/>
  <c r="G40" i="4"/>
  <c r="E13" i="4"/>
  <c r="AH17" i="21"/>
  <c r="V27" i="21"/>
  <c r="I22" i="21"/>
  <c r="F27" i="22"/>
  <c r="X8" i="22"/>
  <c r="E33" i="4"/>
  <c r="AC5" i="21"/>
  <c r="AF14" i="21"/>
  <c r="O25" i="22"/>
  <c r="Q31" i="21"/>
  <c r="V39" i="22"/>
  <c r="K20" i="21"/>
  <c r="Y27" i="21"/>
  <c r="AB12" i="22"/>
  <c r="H29" i="4"/>
  <c r="W36" i="21"/>
  <c r="Q41" i="22"/>
  <c r="I41" i="21"/>
  <c r="X34" i="21"/>
  <c r="S4" i="22"/>
  <c r="AC27" i="21"/>
  <c r="I33" i="22"/>
  <c r="V42" i="21"/>
  <c r="Y11" i="21"/>
  <c r="X9" i="22"/>
  <c r="Y11" i="22"/>
  <c r="K17" i="22"/>
  <c r="V35" i="21"/>
  <c r="L10" i="22"/>
  <c r="AC11" i="21"/>
  <c r="AF25" i="22"/>
  <c r="L43" i="21"/>
  <c r="K19" i="22"/>
  <c r="Z15" i="21"/>
  <c r="N39" i="21"/>
  <c r="AB33" i="22"/>
  <c r="X13" i="21"/>
  <c r="T22" i="22"/>
  <c r="O31" i="21"/>
  <c r="L10" i="21"/>
  <c r="W40" i="21"/>
  <c r="AF43" i="21"/>
  <c r="F5" i="2" a="1"/>
  <c r="P28" i="21"/>
  <c r="U15" i="21"/>
  <c r="AG43" i="22"/>
  <c r="Y37" i="21"/>
  <c r="AH40" i="21"/>
  <c r="AF4" i="22"/>
  <c r="F35" i="4"/>
  <c r="K23" i="22"/>
  <c r="T25" i="21"/>
  <c r="I5" i="2" a="1"/>
  <c r="R16" i="21"/>
  <c r="AF19" i="22"/>
  <c r="AC11" i="22"/>
  <c r="E43" i="21"/>
  <c r="AD21" i="22"/>
  <c r="E33" i="22"/>
  <c r="AA5" i="22"/>
  <c r="W42" i="22"/>
  <c r="F18" i="22"/>
  <c r="AH16" i="22"/>
  <c r="Z8" i="22"/>
  <c r="T36" i="22"/>
  <c r="S10" i="2" a="1"/>
  <c r="G12" i="3" a="1"/>
  <c r="R26" i="21"/>
  <c r="M38" i="22"/>
  <c r="R20" i="21"/>
  <c r="AD39" i="22"/>
  <c r="G8" i="22"/>
  <c r="F23" i="22"/>
  <c r="W4" i="21"/>
  <c r="G27" i="4"/>
  <c r="Q6" i="22"/>
  <c r="L20" i="21"/>
  <c r="O18" i="21"/>
  <c r="G10" i="21"/>
  <c r="W24" i="21"/>
  <c r="AC30" i="22"/>
  <c r="AB35" i="21"/>
  <c r="AG26" i="21"/>
  <c r="E41" i="22"/>
  <c r="I38" i="21"/>
  <c r="S5" i="2" a="1"/>
  <c r="U29" i="21"/>
  <c r="AE33" i="21"/>
  <c r="X31" i="22"/>
  <c r="V28" i="22"/>
  <c r="V25" i="21"/>
  <c r="Z25" i="22"/>
  <c r="F13" i="4"/>
  <c r="S36" i="21"/>
  <c r="W8" i="22"/>
  <c r="P34" i="21"/>
  <c r="W13" i="22"/>
  <c r="AD6" i="21"/>
  <c r="L4" i="21"/>
  <c r="AH14" i="21"/>
  <c r="Y20" i="22"/>
  <c r="U10" i="21"/>
  <c r="L11" i="22"/>
  <c r="M25" i="21"/>
  <c r="M19" i="21"/>
  <c r="T32" i="21"/>
  <c r="M20" i="21"/>
  <c r="X19" i="21"/>
  <c r="AA25" i="22"/>
  <c r="AD10" i="21"/>
  <c r="Z7" i="22"/>
  <c r="AB28" i="21"/>
  <c r="R28" i="21"/>
  <c r="I7" i="21"/>
  <c r="Y26" i="21"/>
  <c r="H10" i="4"/>
  <c r="E27" i="22"/>
  <c r="Y13" i="21"/>
  <c r="AE24" i="22"/>
  <c r="AE18" i="22"/>
  <c r="AC34" i="21"/>
  <c r="M15" i="21"/>
  <c r="Y43" i="21"/>
  <c r="Q13" i="21"/>
  <c r="U12" i="21"/>
  <c r="S41" i="21"/>
  <c r="N8" i="21"/>
  <c r="G19" i="21"/>
  <c r="AG25" i="22"/>
  <c r="T19" i="21"/>
  <c r="AG18" i="22"/>
  <c r="T12" i="21"/>
  <c r="S5" i="21"/>
  <c r="F38" i="22"/>
  <c r="S35" i="22"/>
  <c r="T31" i="22"/>
  <c r="AG39" i="21"/>
  <c r="K32" i="21"/>
  <c r="E31" i="4"/>
  <c r="U22" i="22"/>
  <c r="G13" i="21"/>
  <c r="V27" i="22"/>
  <c r="Z33" i="21"/>
  <c r="AF18" i="21"/>
  <c r="O25" i="21"/>
  <c r="T46" i="2" a="1"/>
  <c r="T8" i="22"/>
  <c r="F11" i="4"/>
  <c r="E27" i="21"/>
  <c r="Y36" i="21"/>
  <c r="Q16" i="21"/>
  <c r="G38" i="4"/>
  <c r="AB8" i="21"/>
  <c r="AG38" i="21"/>
  <c r="M5" i="2" a="1"/>
  <c r="F15" i="4"/>
  <c r="E9" i="4"/>
  <c r="X22" i="21"/>
  <c r="L12" i="21"/>
  <c r="AD4" i="21"/>
  <c r="AB30" i="21"/>
  <c r="O5" i="21"/>
  <c r="Q27" i="22"/>
  <c r="AF15" i="21"/>
  <c r="K14" i="22"/>
  <c r="K26" i="21"/>
  <c r="P22" i="21"/>
  <c r="O16" i="22"/>
  <c r="AB30" i="22"/>
  <c r="W43" i="21"/>
  <c r="L21" i="22"/>
  <c r="N13" i="21"/>
  <c r="X35" i="22"/>
  <c r="E28" i="21"/>
  <c r="M4" i="22"/>
  <c r="W7" i="21"/>
  <c r="E41" i="4"/>
  <c r="AB11" i="22"/>
  <c r="W32" i="21"/>
  <c r="AC14" i="21"/>
  <c r="T9" i="21"/>
  <c r="P33" i="21"/>
  <c r="G26" i="22"/>
  <c r="L7" i="22"/>
  <c r="G8" i="21"/>
  <c r="X10" i="22"/>
  <c r="E15" i="22"/>
  <c r="AG19" i="21"/>
  <c r="E30" i="4"/>
  <c r="AE12" i="22"/>
  <c r="E20" i="4"/>
  <c r="M32" i="22"/>
  <c r="E36" i="21"/>
  <c r="R31" i="21"/>
  <c r="F31" i="4"/>
  <c r="O36" i="21"/>
  <c r="X26" i="22"/>
  <c r="V16" i="22"/>
  <c r="Q10" i="21"/>
  <c r="X18" i="21"/>
  <c r="Q6" i="21"/>
  <c r="X23" i="21"/>
  <c r="T27" i="21"/>
  <c r="F18" i="4"/>
  <c r="AE41" i="22"/>
  <c r="AD12" i="21"/>
  <c r="F4" i="4"/>
  <c r="M40" i="22"/>
  <c r="V34" i="21"/>
  <c r="K31" i="22"/>
  <c r="O16" i="21"/>
  <c r="L16" i="21"/>
  <c r="T38" i="21"/>
  <c r="U14" i="22"/>
  <c r="S28" i="21"/>
  <c r="Y7" i="21"/>
  <c r="E17" i="4"/>
  <c r="O36" i="22"/>
  <c r="E26" i="4"/>
  <c r="S26" i="22"/>
  <c r="Q29" i="21"/>
  <c r="F30" i="4"/>
  <c r="S31" i="21"/>
  <c r="E14" i="4"/>
  <c r="AG6" i="21"/>
  <c r="W8" i="21"/>
  <c r="K38" i="21"/>
  <c r="AC23" i="21"/>
  <c r="G14" i="3" a="1"/>
  <c r="Z36" i="21"/>
  <c r="K7" i="22"/>
  <c r="M19" i="22"/>
  <c r="O22" i="22"/>
  <c r="K23" i="21"/>
  <c r="AD15" i="22"/>
  <c r="K22" i="21"/>
  <c r="Y9" i="21"/>
  <c r="U41" i="21"/>
  <c r="S9" i="21"/>
  <c r="E38" i="21"/>
  <c r="E11" i="4"/>
  <c r="L7" i="21"/>
  <c r="T4" i="21"/>
  <c r="AB19" i="21"/>
  <c r="P12" i="21"/>
  <c r="W14" i="21"/>
  <c r="Q17" i="21"/>
  <c r="R30" i="21"/>
  <c r="AA13" i="22"/>
  <c r="V29" i="21"/>
  <c r="AH23" i="21"/>
  <c r="F27" i="4"/>
  <c r="N21" i="21"/>
  <c r="AD29" i="21"/>
  <c r="Q38" i="22"/>
  <c r="K9" i="22"/>
  <c r="O15" i="22"/>
  <c r="G40" i="21"/>
  <c r="U18" i="22"/>
  <c r="L29" i="21"/>
  <c r="AH18" i="21"/>
  <c r="AC12" i="21"/>
  <c r="E23" i="4"/>
  <c r="S11" i="21"/>
  <c r="I34" i="21"/>
  <c r="I29" i="21"/>
  <c r="O10" i="21"/>
  <c r="L11" i="21"/>
  <c r="AB43" i="21"/>
  <c r="Z27" i="22"/>
  <c r="W42" i="21"/>
  <c r="F42" i="4"/>
  <c r="Y14" i="21"/>
  <c r="G41" i="21"/>
  <c r="G28" i="22"/>
  <c r="G12" i="22"/>
  <c r="AB17" i="22"/>
  <c r="Z26" i="21"/>
  <c r="X39" i="22"/>
  <c r="L17" i="21"/>
  <c r="X26" i="21"/>
  <c r="Z13" i="22"/>
  <c r="Q11" i="22"/>
  <c r="N19" i="21"/>
  <c r="M7" i="21"/>
  <c r="W23" i="21"/>
  <c r="AG13" i="21"/>
  <c r="E12" i="4"/>
  <c r="Z30" i="21"/>
  <c r="U33" i="21"/>
  <c r="G20" i="3" a="1"/>
  <c r="U9" i="21"/>
  <c r="AB34" i="22"/>
  <c r="AB42" i="2" l="1"/>
  <c r="Y42" i="2" s="1"/>
  <c r="AB43" i="2"/>
  <c r="AP43" i="2" s="1"/>
  <c r="AQ43" i="2" s="1"/>
  <c r="AP44" i="2"/>
  <c r="AQ44" i="2" s="1"/>
  <c r="X44" i="2"/>
  <c r="Y44" i="2"/>
  <c r="Y43" i="2"/>
  <c r="X43" i="2"/>
  <c r="X42" i="2"/>
  <c r="AP42" i="2"/>
  <c r="AQ42" i="2" s="1"/>
  <c r="X41" i="2"/>
  <c r="Y41" i="2"/>
  <c r="AP41" i="2"/>
  <c r="AQ41" i="2" s="1"/>
  <c r="Y40" i="2"/>
  <c r="AP40" i="2"/>
  <c r="AQ40" i="2" s="1"/>
  <c r="P32" i="15"/>
  <c r="Y39" i="2"/>
  <c r="Y37" i="2"/>
  <c r="Y35" i="2"/>
  <c r="Y36" i="2"/>
  <c r="Y38" i="2"/>
  <c r="AP36" i="2"/>
  <c r="AQ36" i="2" s="1"/>
  <c r="P31" i="15"/>
  <c r="P22" i="7"/>
  <c r="AP39" i="2"/>
  <c r="AQ39" i="2" s="1"/>
  <c r="AP35" i="2"/>
  <c r="AQ35" i="2" s="1"/>
  <c r="P29" i="10"/>
  <c r="P24" i="13"/>
  <c r="P24" i="14"/>
  <c r="AP23" i="2"/>
  <c r="P13" i="7"/>
  <c r="P19" i="8"/>
  <c r="P33" i="9"/>
  <c r="P13" i="12"/>
  <c r="P21" i="19"/>
  <c r="AP38" i="2"/>
  <c r="AQ38" i="2" s="1"/>
  <c r="AP37" i="2"/>
  <c r="AQ37" i="2" s="1"/>
  <c r="AO31" i="2"/>
  <c r="AO29" i="2"/>
  <c r="AO20" i="2"/>
  <c r="AO18" i="2"/>
  <c r="AO15" i="2"/>
  <c r="AO19" i="2"/>
  <c r="AO26" i="2"/>
  <c r="P31" i="18"/>
  <c r="AC34" i="2"/>
  <c r="AM15" i="2"/>
  <c r="AL18" i="2"/>
  <c r="AF15" i="2"/>
  <c r="AC31" i="2"/>
  <c r="AM19" i="2"/>
  <c r="AE19" i="2"/>
  <c r="AN15" i="2"/>
  <c r="AB19" i="2"/>
  <c r="AJ31" i="2"/>
  <c r="AI20" i="2"/>
  <c r="AN22" i="2"/>
  <c r="AG20" i="2"/>
  <c r="AN31" i="2"/>
  <c r="AJ29" i="2"/>
  <c r="AC18" i="2"/>
  <c r="AD21" i="2"/>
  <c r="AL21" i="2"/>
  <c r="AG22" i="2"/>
  <c r="AF21" i="2"/>
  <c r="AN26" i="2"/>
  <c r="AK20" i="2"/>
  <c r="AI31" i="2"/>
  <c r="AG28" i="2"/>
  <c r="AC28" i="2"/>
  <c r="AJ22" i="2"/>
  <c r="AD26" i="2"/>
  <c r="AM16" i="2"/>
  <c r="AD31" i="2"/>
  <c r="AK26" i="2"/>
  <c r="AK29" i="2"/>
  <c r="AH26" i="2"/>
  <c r="AM30" i="2"/>
  <c r="AF31" i="2"/>
  <c r="AL28" i="2"/>
  <c r="AN16" i="2"/>
  <c r="AB15" i="2"/>
  <c r="AG26" i="2"/>
  <c r="AJ27" i="2"/>
  <c r="AM17" i="2"/>
  <c r="AI18" i="2"/>
  <c r="AF16" i="2"/>
  <c r="AK34" i="2"/>
  <c r="AL27" i="2"/>
  <c r="AB27" i="2"/>
  <c r="AC22" i="2"/>
  <c r="AE28" i="2"/>
  <c r="AG16" i="2"/>
  <c r="AK30" i="2"/>
  <c r="AK31" i="2"/>
  <c r="AJ26" i="2"/>
  <c r="AL15" i="2"/>
  <c r="AJ20" i="2"/>
  <c r="AC32" i="2"/>
  <c r="AD28" i="2"/>
  <c r="AH31" i="2"/>
  <c r="AI19" i="2"/>
  <c r="AM14" i="2"/>
  <c r="AM32" i="2"/>
  <c r="AC19" i="2"/>
  <c r="AE20" i="2"/>
  <c r="AL22" i="2"/>
  <c r="AI34" i="2"/>
  <c r="AB31" i="2"/>
  <c r="AD16" i="2"/>
  <c r="AL20" i="2"/>
  <c r="AL31" i="2"/>
  <c r="AB26" i="2"/>
  <c r="AC27" i="2"/>
  <c r="AM25" i="2"/>
  <c r="AP25" i="2" s="1"/>
  <c r="AL16" i="2"/>
  <c r="AE16" i="2"/>
  <c r="AC16" i="2"/>
  <c r="AM18" i="2"/>
  <c r="P16" i="16"/>
  <c r="P23" i="18"/>
  <c r="AN24" i="2" a="1"/>
  <c r="AN24" i="2" s="1"/>
  <c r="AP24" i="2" s="1"/>
  <c r="P25" i="17"/>
  <c r="AL26" i="2" a="1"/>
  <c r="AL26" i="2" s="1"/>
  <c r="P29" i="17"/>
  <c r="AL30" i="2" a="1"/>
  <c r="AL30" i="2" s="1"/>
  <c r="P13" i="18"/>
  <c r="AN14" i="2" a="1"/>
  <c r="AN14" i="2" s="1"/>
  <c r="P22" i="12"/>
  <c r="P28" i="16"/>
  <c r="P30" i="19"/>
  <c r="P33" i="15"/>
  <c r="P32" i="12"/>
  <c r="P31" i="9"/>
  <c r="P30" i="7"/>
  <c r="P29" i="11"/>
  <c r="P25" i="10"/>
  <c r="P18" i="19"/>
  <c r="P28" i="11"/>
  <c r="P19" i="18"/>
  <c r="P13" i="10"/>
  <c r="P26" i="8"/>
  <c r="P13" i="17"/>
  <c r="P17" i="12"/>
  <c r="P18" i="9"/>
  <c r="P28" i="20"/>
  <c r="P20" i="9"/>
  <c r="P14" i="11"/>
  <c r="P14" i="18"/>
  <c r="P19" i="20"/>
  <c r="P25" i="13"/>
  <c r="P24" i="20"/>
  <c r="P18" i="15"/>
  <c r="P17" i="18"/>
  <c r="P32" i="9"/>
  <c r="P30" i="14"/>
  <c r="P32" i="19"/>
  <c r="P31" i="12"/>
  <c r="P30" i="9"/>
  <c r="P29" i="14"/>
  <c r="P26" i="13"/>
  <c r="P13" i="15"/>
  <c r="P14" i="9"/>
  <c r="P23" i="11"/>
  <c r="P19" i="13"/>
  <c r="P27" i="14"/>
  <c r="P16" i="7"/>
  <c r="P21" i="18"/>
  <c r="P18" i="18"/>
  <c r="P23" i="8"/>
  <c r="P23" i="13"/>
  <c r="P20" i="16"/>
  <c r="P23" i="10"/>
  <c r="P19" i="11"/>
  <c r="P33" i="17"/>
  <c r="P32" i="10"/>
  <c r="P30" i="18"/>
  <c r="P29" i="15"/>
  <c r="P26" i="16"/>
  <c r="P24" i="18"/>
  <c r="P28" i="14"/>
  <c r="P17" i="7"/>
  <c r="P24" i="9"/>
  <c r="P16" i="9"/>
  <c r="P22" i="19"/>
  <c r="P13" i="14"/>
  <c r="P32" i="20"/>
  <c r="P28" i="12"/>
  <c r="P20" i="8"/>
  <c r="P14" i="12"/>
  <c r="P20" i="17"/>
  <c r="P21" i="11"/>
  <c r="P24" i="8"/>
  <c r="P20" i="10"/>
  <c r="P29" i="12"/>
  <c r="P25" i="18"/>
  <c r="P23" i="20"/>
  <c r="P13" i="8"/>
  <c r="P26" i="9"/>
  <c r="P19" i="16"/>
  <c r="P16" i="11"/>
  <c r="P24" i="10"/>
  <c r="P19" i="7"/>
  <c r="P20" i="15"/>
  <c r="P33" i="18"/>
  <c r="P32" i="13"/>
  <c r="P31" i="20"/>
  <c r="P30" i="10"/>
  <c r="P23" i="17"/>
  <c r="P15" i="14"/>
  <c r="P27" i="17"/>
  <c r="P15" i="16"/>
  <c r="P20" i="19"/>
  <c r="P25" i="7"/>
  <c r="P14" i="20"/>
  <c r="P22" i="18"/>
  <c r="P16" i="18"/>
  <c r="P27" i="15"/>
  <c r="P15" i="18"/>
  <c r="P21" i="15"/>
  <c r="P17" i="10"/>
  <c r="P18" i="12"/>
  <c r="P19" i="12"/>
  <c r="P21" i="20"/>
  <c r="P18" i="10"/>
  <c r="P14" i="15"/>
  <c r="P32" i="14"/>
  <c r="P29" i="9"/>
  <c r="P25" i="11"/>
  <c r="P15" i="15"/>
  <c r="P28" i="9"/>
  <c r="P18" i="20"/>
  <c r="P23" i="7"/>
  <c r="P26" i="14"/>
  <c r="P22" i="16"/>
  <c r="P16" i="19"/>
  <c r="P13" i="20"/>
  <c r="P28" i="18"/>
  <c r="P24" i="7"/>
  <c r="P24" i="16"/>
  <c r="P14" i="13"/>
  <c r="P32" i="18"/>
  <c r="P30" i="11"/>
  <c r="P29" i="13"/>
  <c r="P25" i="19"/>
  <c r="P13" i="16"/>
  <c r="P27" i="19"/>
  <c r="P17" i="13"/>
  <c r="P23" i="16"/>
  <c r="P33" i="16"/>
  <c r="P31" i="13"/>
  <c r="P26" i="17"/>
  <c r="P13" i="9"/>
  <c r="P26" i="15"/>
  <c r="P21" i="7"/>
  <c r="P27" i="18"/>
  <c r="P28" i="8"/>
  <c r="P17" i="16"/>
  <c r="P22" i="9"/>
  <c r="P15" i="11"/>
  <c r="P33" i="10"/>
  <c r="P32" i="17"/>
  <c r="P31" i="19"/>
  <c r="P29" i="18"/>
  <c r="P28" i="13"/>
  <c r="P19" i="10"/>
  <c r="P16" i="14"/>
  <c r="P26" i="12"/>
  <c r="P20" i="20"/>
  <c r="P28" i="10"/>
  <c r="P16" i="12"/>
  <c r="P19" i="9"/>
  <c r="P26" i="18"/>
  <c r="P16" i="20"/>
  <c r="P24" i="17"/>
  <c r="P13" i="13"/>
  <c r="P21" i="17"/>
  <c r="P17" i="8"/>
  <c r="P18" i="11"/>
  <c r="P33" i="13"/>
  <c r="P31" i="11"/>
  <c r="P33" i="11"/>
  <c r="P32" i="7"/>
  <c r="P31" i="17"/>
  <c r="P28" i="19"/>
  <c r="P22" i="17"/>
  <c r="P23" i="14"/>
  <c r="P26" i="11"/>
  <c r="P14" i="14"/>
  <c r="P15" i="8"/>
  <c r="P25" i="20"/>
  <c r="P18" i="8"/>
  <c r="P20" i="18"/>
  <c r="P27" i="10"/>
  <c r="P14" i="8"/>
  <c r="P19" i="17"/>
  <c r="P15" i="12"/>
  <c r="P33" i="14"/>
  <c r="P32" i="8"/>
  <c r="P31" i="14"/>
  <c r="P30" i="17"/>
  <c r="P29" i="8"/>
  <c r="P21" i="16"/>
  <c r="P18" i="17"/>
  <c r="P22" i="10"/>
  <c r="P16" i="10"/>
  <c r="P23" i="12"/>
  <c r="P33" i="19"/>
  <c r="P31" i="8"/>
  <c r="P14" i="16"/>
  <c r="P27" i="12"/>
  <c r="P29" i="7"/>
  <c r="P24" i="19"/>
  <c r="P21" i="10"/>
  <c r="P15" i="17"/>
  <c r="P27" i="13"/>
  <c r="P24" i="12"/>
  <c r="P15" i="9"/>
  <c r="P28" i="17"/>
  <c r="P17" i="19"/>
  <c r="P27" i="20"/>
  <c r="P16" i="17"/>
  <c r="P33" i="7"/>
  <c r="P31" i="16"/>
  <c r="P30" i="13"/>
  <c r="P29" i="16"/>
  <c r="P26" i="20"/>
  <c r="P14" i="19"/>
  <c r="P13" i="11"/>
  <c r="P24" i="11"/>
  <c r="P27" i="11"/>
  <c r="P17" i="17"/>
  <c r="P22" i="8"/>
  <c r="P20" i="13"/>
  <c r="P18" i="14"/>
  <c r="P25" i="9"/>
  <c r="P23" i="19"/>
  <c r="P17" i="11"/>
  <c r="P16" i="13"/>
  <c r="P22" i="13"/>
  <c r="P20" i="12"/>
  <c r="P26" i="10"/>
  <c r="P22" i="20"/>
  <c r="P33" i="8"/>
  <c r="P30" i="20"/>
  <c r="P33" i="12"/>
  <c r="P32" i="11"/>
  <c r="P30" i="16"/>
  <c r="P27" i="7"/>
  <c r="P17" i="9"/>
  <c r="P21" i="14"/>
  <c r="P25" i="14"/>
  <c r="P17" i="20"/>
  <c r="P20" i="11"/>
  <c r="P15" i="13"/>
  <c r="P14" i="17"/>
  <c r="P25" i="8"/>
  <c r="P19" i="14"/>
  <c r="P15" i="19"/>
  <c r="P20" i="7"/>
  <c r="P33" i="20"/>
  <c r="P31" i="7"/>
  <c r="P30" i="8"/>
  <c r="P27" i="8"/>
  <c r="P16" i="8"/>
  <c r="P18" i="16"/>
  <c r="P22" i="11"/>
  <c r="P28" i="7"/>
  <c r="P15" i="20"/>
  <c r="P25" i="16"/>
  <c r="P20" i="14"/>
  <c r="P32" i="16"/>
  <c r="P30" i="12"/>
  <c r="P27" i="16"/>
  <c r="P23" i="15"/>
  <c r="P21" i="12"/>
  <c r="P17" i="14"/>
  <c r="P26" i="19"/>
  <c r="P19" i="19"/>
  <c r="P18" i="13"/>
  <c r="P25" i="12"/>
  <c r="P29" i="20"/>
  <c r="P13" i="19"/>
  <c r="P21" i="13"/>
  <c r="P29" i="19"/>
  <c r="P16" i="15"/>
  <c r="P14" i="10"/>
  <c r="P22" i="14"/>
  <c r="U22" i="2"/>
  <c r="X22" i="2" s="1"/>
  <c r="V19" i="2"/>
  <c r="V23" i="2"/>
  <c r="V31" i="2"/>
  <c r="U16" i="2"/>
  <c r="X16" i="2" s="1"/>
  <c r="U28" i="2"/>
  <c r="X28" i="2" s="1"/>
  <c r="U26" i="2"/>
  <c r="X26" i="2" s="1"/>
  <c r="P21" i="9"/>
  <c r="V32" i="2"/>
  <c r="V25" i="2"/>
  <c r="V27" i="2"/>
  <c r="U20" i="2"/>
  <c r="X20" i="2" s="1"/>
  <c r="U18" i="2"/>
  <c r="X18" i="2" s="1"/>
  <c r="V20" i="2"/>
  <c r="U29" i="2"/>
  <c r="X29" i="2" s="1"/>
  <c r="V15" i="2"/>
  <c r="U32" i="2"/>
  <c r="X32" i="2" s="1"/>
  <c r="V24" i="2"/>
  <c r="V17" i="2"/>
  <c r="V34" i="2"/>
  <c r="U34" i="2"/>
  <c r="X34" i="2" s="1"/>
  <c r="U14" i="2"/>
  <c r="X14" i="2" s="1"/>
  <c r="U30" i="2"/>
  <c r="X30" i="2" s="1"/>
  <c r="V22" i="2"/>
  <c r="U24" i="2"/>
  <c r="X24" i="2" s="1"/>
  <c r="V26" i="2"/>
  <c r="V16" i="2"/>
  <c r="P25" i="15"/>
  <c r="U33" i="2"/>
  <c r="X33" i="2" s="1"/>
  <c r="V18" i="2"/>
  <c r="V21" i="2"/>
  <c r="P19" i="15"/>
  <c r="P23" i="9"/>
  <c r="U17" i="2"/>
  <c r="X17" i="2" s="1"/>
  <c r="U19" i="2"/>
  <c r="X19" i="2" s="1"/>
  <c r="U15" i="2"/>
  <c r="X15" i="2" s="1"/>
  <c r="V33" i="2"/>
  <c r="V29" i="2"/>
  <c r="P24" i="15"/>
  <c r="P15" i="7"/>
  <c r="P14" i="7"/>
  <c r="P26" i="7"/>
  <c r="P18" i="7"/>
  <c r="U21" i="2"/>
  <c r="X21" i="2" s="1"/>
  <c r="V28" i="2"/>
  <c r="V30" i="2"/>
  <c r="P28" i="15"/>
  <c r="P30" i="15"/>
  <c r="U25" i="2"/>
  <c r="X25" i="2" s="1"/>
  <c r="U23" i="2"/>
  <c r="X23" i="2" s="1"/>
  <c r="U27" i="2"/>
  <c r="X27" i="2" s="1"/>
  <c r="U31" i="2"/>
  <c r="X31" i="2" s="1"/>
  <c r="V14" i="2"/>
  <c r="P17" i="15"/>
  <c r="P22" i="15"/>
  <c r="P21" i="8"/>
  <c r="I20" i="4"/>
  <c r="J20" i="4" s="1" a="1"/>
  <c r="J20" i="4" s="1"/>
  <c r="I30" i="4"/>
  <c r="J30" i="4" s="1" a="1"/>
  <c r="J30" i="4" s="1"/>
  <c r="I42" i="4"/>
  <c r="J42" i="4" s="1" a="1"/>
  <c r="J42" i="4" s="1"/>
  <c r="I17" i="4"/>
  <c r="J17" i="4" s="1" a="1"/>
  <c r="J17" i="4" s="1"/>
  <c r="I33" i="4"/>
  <c r="J33" i="4" s="1" a="1"/>
  <c r="J33" i="4" s="1"/>
  <c r="I32" i="4"/>
  <c r="J32" i="4" s="1" a="1"/>
  <c r="J32" i="4" s="1"/>
  <c r="P72" i="2"/>
  <c r="I75" i="2"/>
  <c r="J76" i="2"/>
  <c r="I76" i="2"/>
  <c r="H85" i="2"/>
  <c r="L67" i="2"/>
  <c r="I74" i="2"/>
  <c r="M81" i="2"/>
  <c r="I78" i="2"/>
  <c r="H71" i="2"/>
  <c r="O74" i="2"/>
  <c r="P70" i="2"/>
  <c r="Q68" i="2"/>
  <c r="K82" i="2"/>
  <c r="H76" i="2"/>
  <c r="J75" i="2"/>
  <c r="L80" i="2"/>
  <c r="E77" i="2"/>
  <c r="G78" i="2"/>
  <c r="Q78" i="2"/>
  <c r="I40" i="4"/>
  <c r="J40" i="4" s="1" a="1"/>
  <c r="J40" i="4" s="1"/>
  <c r="I36" i="4"/>
  <c r="J36" i="4" s="1" a="1"/>
  <c r="J36" i="4" s="1"/>
  <c r="I21" i="4"/>
  <c r="J21" i="4" s="1" a="1"/>
  <c r="J21" i="4" s="1"/>
  <c r="I39" i="4"/>
  <c r="J39" i="4" s="1" a="1"/>
  <c r="J39" i="4" s="1"/>
  <c r="I26" i="4"/>
  <c r="J26" i="4" s="1" a="1"/>
  <c r="J26" i="4" s="1"/>
  <c r="I35" i="4"/>
  <c r="J35" i="4" s="1" a="1"/>
  <c r="J35" i="4" s="1"/>
  <c r="P10" i="2"/>
  <c r="G74" i="2"/>
  <c r="M67" i="2"/>
  <c r="G77" i="2"/>
  <c r="G5" i="2"/>
  <c r="AC5" i="2" s="1" a="1"/>
  <c r="AC5" i="2" s="1"/>
  <c r="Q72" i="2"/>
  <c r="G73" i="2"/>
  <c r="E80" i="2"/>
  <c r="R69" i="2"/>
  <c r="M84" i="2"/>
  <c r="K74" i="2"/>
  <c r="R82" i="2"/>
  <c r="K81" i="2"/>
  <c r="F73" i="2"/>
  <c r="Q80" i="2"/>
  <c r="I73" i="2"/>
  <c r="O76" i="2"/>
  <c r="N73" i="2"/>
  <c r="O79" i="2"/>
  <c r="J5" i="2"/>
  <c r="AF5" i="2" s="1" a="1"/>
  <c r="AF5" i="2" s="1"/>
  <c r="T46" i="2"/>
  <c r="O67" i="2"/>
  <c r="H81" i="2"/>
  <c r="M72" i="2"/>
  <c r="I27" i="4"/>
  <c r="J27" i="4" s="1" a="1"/>
  <c r="J27" i="4" s="1"/>
  <c r="I5" i="4"/>
  <c r="J5" i="4" s="1" a="1"/>
  <c r="J5" i="4" s="1"/>
  <c r="I6" i="4"/>
  <c r="J6" i="4" s="1" a="1"/>
  <c r="J6" i="4" s="1"/>
  <c r="R73" i="2"/>
  <c r="M79" i="2"/>
  <c r="M71" i="2"/>
  <c r="O71" i="2"/>
  <c r="I70" i="2"/>
  <c r="M5" i="2"/>
  <c r="AI5" i="2" s="1" a="1"/>
  <c r="AI5" i="2" s="1"/>
  <c r="G84" i="2"/>
  <c r="L5" i="2"/>
  <c r="AH5" i="2" s="1" a="1"/>
  <c r="AH5" i="2" s="1"/>
  <c r="J67" i="2"/>
  <c r="H69" i="2"/>
  <c r="G20" i="3"/>
  <c r="I18" i="4"/>
  <c r="J18" i="4" s="1" a="1"/>
  <c r="J18" i="4" s="1"/>
  <c r="I11" i="4"/>
  <c r="J11" i="4" s="1" a="1"/>
  <c r="J11" i="4" s="1"/>
  <c r="I31" i="4"/>
  <c r="J31" i="4" s="1" a="1"/>
  <c r="J31" i="4" s="1"/>
  <c r="I8" i="4"/>
  <c r="J8" i="4" s="1" a="1"/>
  <c r="J8" i="4" s="1"/>
  <c r="I28" i="4"/>
  <c r="J28" i="4" s="1" a="1"/>
  <c r="J28" i="4" s="1"/>
  <c r="I9" i="4"/>
  <c r="J9" i="4" s="1" a="1"/>
  <c r="J9" i="4" s="1"/>
  <c r="I19" i="4"/>
  <c r="J19" i="4" s="1" a="1"/>
  <c r="J19" i="4" s="1"/>
  <c r="I14" i="4"/>
  <c r="J14" i="4" s="1" a="1"/>
  <c r="J14" i="4" s="1"/>
  <c r="I37" i="4"/>
  <c r="J37" i="4" s="1" a="1"/>
  <c r="J37" i="4" s="1"/>
  <c r="P83" i="2"/>
  <c r="L71" i="2"/>
  <c r="P71" i="2"/>
  <c r="R71" i="2"/>
  <c r="I69" i="2"/>
  <c r="L75" i="2"/>
  <c r="O69" i="2"/>
  <c r="I85" i="2"/>
  <c r="N81" i="2"/>
  <c r="E84" i="2"/>
  <c r="G81" i="2"/>
  <c r="I77" i="2"/>
  <c r="H70" i="2"/>
  <c r="H5" i="2"/>
  <c r="AD5" i="2" s="1" a="1"/>
  <c r="AD5" i="2" s="1"/>
  <c r="K69" i="2"/>
  <c r="F74" i="2"/>
  <c r="Q84" i="2"/>
  <c r="H82" i="2"/>
  <c r="I38" i="4"/>
  <c r="J38" i="4" s="1" a="1"/>
  <c r="J38" i="4" s="1"/>
  <c r="I24" i="4"/>
  <c r="J24" i="4" s="1" a="1"/>
  <c r="J24" i="4" s="1"/>
  <c r="I15" i="4"/>
  <c r="J15" i="4" s="1" a="1"/>
  <c r="J15" i="4" s="1"/>
  <c r="I29" i="4"/>
  <c r="J29" i="4" s="1" a="1"/>
  <c r="J29" i="4" s="1"/>
  <c r="I43" i="4"/>
  <c r="J43" i="4" s="1" a="1"/>
  <c r="J43" i="4" s="1"/>
  <c r="I16" i="4"/>
  <c r="J16" i="4" s="1" a="1"/>
  <c r="J16" i="4" s="1"/>
  <c r="I34" i="4"/>
  <c r="J34" i="4" s="1" a="1"/>
  <c r="J34" i="4" s="1"/>
  <c r="I12" i="4"/>
  <c r="J12" i="4" s="1" a="1"/>
  <c r="J12" i="4" s="1"/>
  <c r="N70" i="2"/>
  <c r="K71" i="2"/>
  <c r="F84" i="2"/>
  <c r="R5" i="2"/>
  <c r="H83" i="2"/>
  <c r="J71" i="2"/>
  <c r="F83" i="2"/>
  <c r="P69" i="2"/>
  <c r="M80" i="2"/>
  <c r="H72" i="2"/>
  <c r="J80" i="2"/>
  <c r="N5" i="2"/>
  <c r="AJ5" i="2" s="1" a="1"/>
  <c r="AJ5" i="2" s="1"/>
  <c r="I84" i="2"/>
  <c r="Q67" i="2"/>
  <c r="Q81" i="2"/>
  <c r="N85" i="2"/>
  <c r="G19" i="3"/>
  <c r="J68" i="2"/>
  <c r="E67" i="2"/>
  <c r="P75" i="2"/>
  <c r="Q77" i="2"/>
  <c r="R78" i="2"/>
  <c r="E78" i="2"/>
  <c r="Q73" i="2"/>
  <c r="E75" i="2"/>
  <c r="G70" i="2"/>
  <c r="N71" i="2"/>
  <c r="G16" i="3"/>
  <c r="K72" i="2"/>
  <c r="L77" i="2"/>
  <c r="N83" i="2"/>
  <c r="E82" i="2"/>
  <c r="E68" i="2"/>
  <c r="J72" i="2"/>
  <c r="R76" i="2"/>
  <c r="O84" i="2"/>
  <c r="Q83" i="2"/>
  <c r="N76" i="2"/>
  <c r="F72" i="2"/>
  <c r="P74" i="2"/>
  <c r="O5" i="2"/>
  <c r="AK5" i="2" s="1" a="1"/>
  <c r="AK5" i="2" s="1"/>
  <c r="L84" i="2"/>
  <c r="F67" i="2"/>
  <c r="G6" i="3"/>
  <c r="G68" i="2"/>
  <c r="G82" i="2"/>
  <c r="I5" i="2"/>
  <c r="AE5" i="2" s="1" a="1"/>
  <c r="AE5" i="2" s="1"/>
  <c r="P79" i="2"/>
  <c r="N69" i="2"/>
  <c r="R85" i="2"/>
  <c r="H79" i="2"/>
  <c r="F68" i="2"/>
  <c r="F78" i="2"/>
  <c r="L72" i="2"/>
  <c r="J73" i="2"/>
  <c r="J70" i="2"/>
  <c r="J79" i="2"/>
  <c r="K70" i="2"/>
  <c r="Q82" i="2"/>
  <c r="P84" i="2"/>
  <c r="R77" i="2"/>
  <c r="Q76" i="2"/>
  <c r="Q5" i="2"/>
  <c r="G75" i="2"/>
  <c r="G8" i="3"/>
  <c r="G76" i="2"/>
  <c r="E70" i="2"/>
  <c r="Q79" i="2"/>
  <c r="I71" i="2"/>
  <c r="H77" i="2"/>
  <c r="M85" i="2"/>
  <c r="K78" i="2"/>
  <c r="H6" i="2"/>
  <c r="R68" i="2"/>
  <c r="E72" i="2"/>
  <c r="H74" i="2"/>
  <c r="Q70" i="2"/>
  <c r="E83" i="2"/>
  <c r="M69" i="2"/>
  <c r="Q85" i="2"/>
  <c r="O81" i="2"/>
  <c r="I72" i="2"/>
  <c r="O75" i="2"/>
  <c r="K85" i="2"/>
  <c r="I8" i="2"/>
  <c r="P78" i="2"/>
  <c r="G71" i="2"/>
  <c r="J82" i="2"/>
  <c r="R67" i="2"/>
  <c r="H84" i="2"/>
  <c r="K79" i="2"/>
  <c r="I7" i="4"/>
  <c r="J7" i="4" s="1" a="1"/>
  <c r="J7" i="4" s="1"/>
  <c r="I41" i="4"/>
  <c r="J41" i="4" s="1" a="1"/>
  <c r="J41" i="4" s="1"/>
  <c r="I25" i="4"/>
  <c r="J25" i="4" s="1" a="1"/>
  <c r="J25" i="4" s="1"/>
  <c r="I22" i="4"/>
  <c r="J22" i="4" s="1" a="1"/>
  <c r="J22" i="4" s="1"/>
  <c r="I10" i="4"/>
  <c r="J10" i="4" s="1" a="1"/>
  <c r="J10" i="4" s="1"/>
  <c r="I13" i="4"/>
  <c r="J13" i="4" s="1" a="1"/>
  <c r="J13" i="4" s="1"/>
  <c r="I23" i="4"/>
  <c r="J23" i="4" s="1" a="1"/>
  <c r="J23" i="4" s="1"/>
  <c r="G17" i="3"/>
  <c r="R81" i="2"/>
  <c r="P5" i="2"/>
  <c r="AL5" i="2" s="1" a="1"/>
  <c r="AL5" i="2" s="1"/>
  <c r="I79" i="2"/>
  <c r="F5" i="2"/>
  <c r="AB5" i="2" s="1" a="1"/>
  <c r="AB5" i="2" s="1"/>
  <c r="G13" i="3"/>
  <c r="P68" i="2"/>
  <c r="R79" i="2"/>
  <c r="F85" i="2"/>
  <c r="G15" i="3"/>
  <c r="M83" i="2"/>
  <c r="M75" i="2"/>
  <c r="M73" i="2"/>
  <c r="G10" i="3"/>
  <c r="G67" i="2"/>
  <c r="P80" i="2"/>
  <c r="S5" i="2"/>
  <c r="AO5" i="2" s="1" a="1"/>
  <c r="AO5" i="2" s="1"/>
  <c r="F75" i="2"/>
  <c r="O68" i="2"/>
  <c r="J78" i="2"/>
  <c r="K77" i="2"/>
  <c r="L73" i="2"/>
  <c r="M82" i="2"/>
  <c r="N82" i="2"/>
  <c r="N78" i="2"/>
  <c r="L70" i="2"/>
  <c r="R70" i="2"/>
  <c r="F80" i="2"/>
  <c r="N68" i="2"/>
  <c r="O82" i="2"/>
  <c r="M76" i="2"/>
  <c r="L83" i="2"/>
  <c r="G14" i="3"/>
  <c r="L76" i="2"/>
  <c r="M77" i="2"/>
  <c r="N72" i="2"/>
  <c r="Q75" i="2"/>
  <c r="N74" i="2"/>
  <c r="R83" i="2"/>
  <c r="R84" i="2"/>
  <c r="G79" i="2"/>
  <c r="H67" i="2"/>
  <c r="F69" i="2"/>
  <c r="K5" i="2"/>
  <c r="AG5" i="2" s="1" a="1"/>
  <c r="AG5" i="2" s="1"/>
  <c r="N84" i="2"/>
  <c r="G80" i="2"/>
  <c r="L82" i="2"/>
  <c r="G8" i="2"/>
  <c r="G12" i="3"/>
  <c r="G7" i="3"/>
  <c r="P76" i="2"/>
  <c r="O72" i="2"/>
  <c r="K12" i="2"/>
  <c r="AG12" i="2" s="1" a="1"/>
  <c r="AG12" i="2" s="1"/>
  <c r="P77" i="2"/>
  <c r="R75" i="2"/>
  <c r="E85" i="2"/>
  <c r="P85" i="2"/>
  <c r="L79" i="2"/>
  <c r="L68" i="2"/>
  <c r="G69" i="2"/>
  <c r="M78" i="2"/>
  <c r="N67" i="2"/>
  <c r="G11" i="3"/>
  <c r="K73" i="2"/>
  <c r="F71" i="2"/>
  <c r="S9" i="2"/>
  <c r="L8" i="2"/>
  <c r="AH8" i="2" s="1" a="1"/>
  <c r="AH8" i="2" s="1"/>
  <c r="G11" i="2"/>
  <c r="F13" i="2"/>
  <c r="AB13" i="2" s="1" a="1"/>
  <c r="AB13" i="2" s="1"/>
  <c r="P7" i="2"/>
  <c r="AL7" i="2" s="1" a="1"/>
  <c r="AL7" i="2" s="1"/>
  <c r="F82" i="2"/>
  <c r="Q74" i="2"/>
  <c r="M74" i="2"/>
  <c r="L81" i="2"/>
  <c r="J85" i="2"/>
  <c r="I81" i="2"/>
  <c r="G9" i="3"/>
  <c r="K76" i="2"/>
  <c r="K68" i="2"/>
  <c r="O73" i="2"/>
  <c r="J74" i="2"/>
  <c r="G18" i="3"/>
  <c r="J84" i="2"/>
  <c r="K84" i="2"/>
  <c r="J83" i="2"/>
  <c r="K75" i="2"/>
  <c r="E76" i="2"/>
  <c r="N77" i="2"/>
  <c r="I82" i="2"/>
  <c r="K83" i="2"/>
  <c r="R80" i="2"/>
  <c r="I83" i="2"/>
  <c r="H75" i="2"/>
  <c r="H73" i="2"/>
  <c r="I68" i="2"/>
  <c r="P81" i="2"/>
  <c r="S10" i="2"/>
  <c r="K67" i="2"/>
  <c r="H80" i="2"/>
  <c r="G72" i="2"/>
  <c r="R12" i="2"/>
  <c r="AN12" i="2" s="1" a="1"/>
  <c r="AN12" i="2" s="1"/>
  <c r="M8" i="2"/>
  <c r="AI8" i="2" s="1" a="1"/>
  <c r="AI8" i="2" s="1"/>
  <c r="O11" i="2"/>
  <c r="AK11" i="2" s="1" a="1"/>
  <c r="AK11" i="2" s="1"/>
  <c r="O78" i="2"/>
  <c r="F8" i="2"/>
  <c r="AB8" i="2" s="1" a="1"/>
  <c r="AB8" i="2" s="1"/>
  <c r="I67" i="2"/>
  <c r="G83" i="2"/>
  <c r="L69" i="2"/>
  <c r="Q71" i="2"/>
  <c r="E69" i="2"/>
  <c r="M70" i="2"/>
  <c r="E71" i="2"/>
  <c r="E79" i="2"/>
  <c r="M68" i="2"/>
  <c r="N75" i="2"/>
  <c r="L85" i="2"/>
  <c r="K80" i="2"/>
  <c r="F77" i="2"/>
  <c r="J81" i="2"/>
  <c r="H13" i="2"/>
  <c r="AD13" i="2" s="1" a="1"/>
  <c r="AD13" i="2" s="1"/>
  <c r="Q11" i="2"/>
  <c r="R74" i="2"/>
  <c r="Q69" i="2"/>
  <c r="J77" i="2"/>
  <c r="O85" i="2"/>
  <c r="S13" i="2"/>
  <c r="AO13" i="2" s="1" a="1"/>
  <c r="AO13" i="2" s="1"/>
  <c r="Q13" i="2"/>
  <c r="AM13" i="2" s="1" a="1"/>
  <c r="AM13" i="2" s="1"/>
  <c r="E74" i="2"/>
  <c r="O9" i="2"/>
  <c r="N6" i="2"/>
  <c r="G7" i="2"/>
  <c r="AC7" i="2" s="1" a="1"/>
  <c r="AC7" i="2" s="1"/>
  <c r="F76" i="2"/>
  <c r="F79" i="2"/>
  <c r="J7" i="2"/>
  <c r="F6" i="2"/>
  <c r="K11" i="2"/>
  <c r="AG11" i="2" s="1" a="1"/>
  <c r="AG11" i="2" s="1"/>
  <c r="F12" i="2"/>
  <c r="AB12" i="2" s="1" a="1"/>
  <c r="AB12" i="2" s="1"/>
  <c r="N12" i="2"/>
  <c r="L13" i="2"/>
  <c r="AH13" i="2" s="1" a="1"/>
  <c r="AH13" i="2" s="1"/>
  <c r="I13" i="2"/>
  <c r="AE13" i="2" s="1" a="1"/>
  <c r="AE13" i="2" s="1"/>
  <c r="M13" i="2"/>
  <c r="AI13" i="2" s="1" a="1"/>
  <c r="AI13" i="2" s="1"/>
  <c r="K13" i="2"/>
  <c r="AG13" i="2" s="1" a="1"/>
  <c r="AG13" i="2" s="1"/>
  <c r="O13" i="2"/>
  <c r="AK13" i="2" s="1" a="1"/>
  <c r="AK13" i="2" s="1"/>
  <c r="P82" i="2"/>
  <c r="L74" i="2"/>
  <c r="J69" i="2"/>
  <c r="G85" i="2"/>
  <c r="F70" i="2"/>
  <c r="E73" i="2"/>
  <c r="O70" i="2"/>
  <c r="P73" i="2"/>
  <c r="E81" i="2"/>
  <c r="L78" i="2"/>
  <c r="H78" i="2"/>
  <c r="R72" i="2"/>
  <c r="P11" i="2"/>
  <c r="R9" i="2"/>
  <c r="AN9" i="2" s="1" a="1"/>
  <c r="AN9" i="2" s="1"/>
  <c r="H68" i="2"/>
  <c r="F7" i="2"/>
  <c r="AB7" i="2" s="1" a="1"/>
  <c r="AB7" i="2" s="1"/>
  <c r="O7" i="2"/>
  <c r="AK7" i="2" s="1" a="1"/>
  <c r="AK7" i="2" s="1"/>
  <c r="Q8" i="2"/>
  <c r="O83" i="2"/>
  <c r="N79" i="2"/>
  <c r="O80" i="2"/>
  <c r="O8" i="2"/>
  <c r="F81" i="2"/>
  <c r="G9" i="2"/>
  <c r="H12" i="2"/>
  <c r="K10" i="2"/>
  <c r="N10" i="2"/>
  <c r="L12" i="2"/>
  <c r="AH12" i="2" s="1" a="1"/>
  <c r="AH12" i="2" s="1"/>
  <c r="S11" i="2"/>
  <c r="AO11" i="2" s="1" a="1"/>
  <c r="AO11" i="2" s="1"/>
  <c r="R11" i="2"/>
  <c r="AN11" i="2" s="1" a="1"/>
  <c r="AN11" i="2" s="1"/>
  <c r="J6" i="2"/>
  <c r="K6" i="2"/>
  <c r="L7" i="2"/>
  <c r="AH7" i="2" s="1" a="1"/>
  <c r="AH7" i="2" s="1"/>
  <c r="K7" i="2"/>
  <c r="AG7" i="2" s="1" a="1"/>
  <c r="AG7" i="2" s="1"/>
  <c r="S7" i="2"/>
  <c r="N8" i="2"/>
  <c r="R8" i="2"/>
  <c r="AN8" i="2" s="1" a="1"/>
  <c r="AN8" i="2" s="1"/>
  <c r="K9" i="2"/>
  <c r="L9" i="2"/>
  <c r="P9" i="2"/>
  <c r="H7" i="2"/>
  <c r="AD7" i="2" s="1" a="1"/>
  <c r="AD7" i="2" s="1"/>
  <c r="G13" i="2"/>
  <c r="AC13" i="2" s="1" a="1"/>
  <c r="AC13" i="2" s="1"/>
  <c r="N80" i="2"/>
  <c r="I9" i="2"/>
  <c r="O77" i="2"/>
  <c r="I80" i="2"/>
  <c r="Q9" i="2"/>
  <c r="AM9" i="2" s="1" a="1"/>
  <c r="AM9" i="2" s="1"/>
  <c r="H10" i="2"/>
  <c r="AD10" i="2" s="1" a="1"/>
  <c r="AD10" i="2" s="1"/>
  <c r="Q6" i="2"/>
  <c r="M9" i="2"/>
  <c r="R6" i="2"/>
  <c r="J9" i="2"/>
  <c r="G6" i="2"/>
  <c r="AC6" i="2" s="1" a="1"/>
  <c r="AC6" i="2" s="1"/>
  <c r="N9" i="2"/>
  <c r="L10" i="2"/>
  <c r="F11" i="2"/>
  <c r="AB11" i="2" s="1" a="1"/>
  <c r="AB11" i="2" s="1"/>
  <c r="N11" i="2"/>
  <c r="AJ11" i="2" s="1" a="1"/>
  <c r="AJ11" i="2" s="1"/>
  <c r="M11" i="2"/>
  <c r="AI11" i="2" s="1" a="1"/>
  <c r="AI11" i="2" s="1"/>
  <c r="J11" i="2"/>
  <c r="AF11" i="2" s="1" a="1"/>
  <c r="AF11" i="2" s="1"/>
  <c r="P67" i="2"/>
  <c r="H9" i="2"/>
  <c r="J8" i="2"/>
  <c r="AF8" i="2" s="1" a="1"/>
  <c r="AF8" i="2" s="1"/>
  <c r="P12" i="2"/>
  <c r="AL12" i="2" s="1" a="1"/>
  <c r="AL12" i="2" s="1"/>
  <c r="S8" i="2"/>
  <c r="AO8" i="2" s="1" a="1"/>
  <c r="AO8" i="2" s="1"/>
  <c r="P13" i="2"/>
  <c r="AL13" i="2" s="1" a="1"/>
  <c r="AL13" i="2" s="1"/>
  <c r="P8" i="2"/>
  <c r="AL8" i="2" s="1" a="1"/>
  <c r="AL8" i="2" s="1"/>
  <c r="J13" i="2"/>
  <c r="AF13" i="2" s="1" a="1"/>
  <c r="AF13" i="2" s="1"/>
  <c r="I11" i="2"/>
  <c r="AE11" i="2" s="1" a="1"/>
  <c r="AE11" i="2" s="1"/>
  <c r="H11" i="2"/>
  <c r="AD11" i="2" s="1" a="1"/>
  <c r="AD11" i="2" s="1"/>
  <c r="S6" i="2"/>
  <c r="F9" i="2"/>
  <c r="P6" i="2"/>
  <c r="AL6" i="2" s="1" a="1"/>
  <c r="AL6" i="2" s="1"/>
  <c r="J10" i="2"/>
  <c r="M6" i="2"/>
  <c r="O10" i="2"/>
  <c r="I6" i="2"/>
  <c r="F10" i="2"/>
  <c r="AB10" i="2" s="1" a="1"/>
  <c r="AB10" i="2" s="1"/>
  <c r="Q10" i="2"/>
  <c r="S12" i="2"/>
  <c r="G12" i="2"/>
  <c r="AC12" i="2" s="1" a="1"/>
  <c r="AC12" i="2" s="1"/>
  <c r="O6" i="2"/>
  <c r="AK6" i="2" s="1" a="1"/>
  <c r="AK6" i="2" s="1"/>
  <c r="G10" i="2"/>
  <c r="N13" i="2"/>
  <c r="AJ13" i="2" s="1" a="1"/>
  <c r="AJ13" i="2" s="1"/>
  <c r="R13" i="2"/>
  <c r="AN13" i="2" s="1" a="1"/>
  <c r="AN13" i="2" s="1"/>
  <c r="L6" i="2"/>
  <c r="R10" i="2"/>
  <c r="I7" i="2"/>
  <c r="R7" i="2"/>
  <c r="M10" i="2"/>
  <c r="I10" i="2"/>
  <c r="L11" i="2"/>
  <c r="AH11" i="2" s="1" a="1"/>
  <c r="AH11" i="2" s="1"/>
  <c r="I4" i="4"/>
  <c r="Q7" i="2"/>
  <c r="O12" i="2"/>
  <c r="M7" i="2"/>
  <c r="I12" i="2"/>
  <c r="AE12" i="2" s="1" a="1"/>
  <c r="AE12" i="2" s="1"/>
  <c r="N7" i="2"/>
  <c r="AJ7" i="2" s="1" a="1"/>
  <c r="AJ7" i="2" s="1"/>
  <c r="J12" i="2"/>
  <c r="AF12" i="2" s="1" a="1"/>
  <c r="AF12" i="2" s="1"/>
  <c r="K8" i="2"/>
  <c r="M12" i="2"/>
  <c r="H8" i="2"/>
  <c r="AD8" i="2" s="1" a="1"/>
  <c r="AD8" i="2" s="1"/>
  <c r="Q12" i="2"/>
  <c r="AM12" i="2" s="1" a="1"/>
  <c r="AM12" i="2" s="1"/>
  <c r="P4" i="18"/>
  <c r="P12" i="16"/>
  <c r="P3" i="6"/>
  <c r="E3" i="2"/>
  <c r="AH6" i="2" a="1"/>
  <c r="AO12" i="2" a="1"/>
  <c r="AE7" i="2" a="1"/>
  <c r="AC8" i="2" a="1"/>
  <c r="AD12" i="2" a="1"/>
  <c r="AJ6" i="2" a="1"/>
  <c r="AK10" i="2" a="1"/>
  <c r="AJ9" i="2" a="1"/>
  <c r="AF7" i="2" a="1"/>
  <c r="AE9" i="2" a="1"/>
  <c r="AM11" i="2" a="1"/>
  <c r="AN6" i="2" a="1"/>
  <c r="AG6" i="2" a="1"/>
  <c r="AK9" i="2" a="1"/>
  <c r="AD9" i="2" a="1"/>
  <c r="AE8" i="2" a="1"/>
  <c r="AC10" i="2" a="1"/>
  <c r="AF9" i="2" a="1"/>
  <c r="AI9" i="2" a="1"/>
  <c r="AH10" i="2" a="1"/>
  <c r="AN7" i="2" a="1"/>
  <c r="AG8" i="2" a="1"/>
  <c r="AJ10" i="2" a="1"/>
  <c r="AM5" i="2" a="1"/>
  <c r="AF10" i="2" a="1"/>
  <c r="AL11" i="2" a="1"/>
  <c r="AO7" i="2" a="1"/>
  <c r="AB9" i="2" a="1"/>
  <c r="AM6" i="2" a="1"/>
  <c r="E7" i="3" a="1"/>
  <c r="AL10" i="2" a="1"/>
  <c r="AI7" i="2" a="1"/>
  <c r="AO9" i="2" a="1"/>
  <c r="AF6" i="2" a="1"/>
  <c r="AC11" i="2" a="1"/>
  <c r="AJ12" i="2" a="1"/>
  <c r="AK17" i="2" a="1"/>
  <c r="AH9" i="2" a="1"/>
  <c r="AI10" i="2" a="1"/>
  <c r="AN5" i="2" a="1"/>
  <c r="AI6" i="2" a="1"/>
  <c r="AM7" i="2" a="1"/>
  <c r="AB33" i="2" a="1"/>
  <c r="AM10" i="2" a="1"/>
  <c r="AE6" i="2" a="1"/>
  <c r="AO6" i="2" a="1"/>
  <c r="AB6" i="2" a="1"/>
  <c r="AD6" i="2" a="1"/>
  <c r="AC9" i="2" a="1"/>
  <c r="AJ8" i="2" a="1"/>
  <c r="AL9" i="2" a="1"/>
  <c r="AI12" i="2" a="1"/>
  <c r="AM8" i="2" a="1"/>
  <c r="AK8" i="2" a="1"/>
  <c r="AG10" i="2" a="1"/>
  <c r="AN10" i="2" a="1"/>
  <c r="AK12" i="2" a="1"/>
  <c r="AO10" i="2" a="1"/>
  <c r="AG9" i="2" a="1"/>
  <c r="AE10" i="2" a="1"/>
  <c r="AB33" i="2" l="1"/>
  <c r="Y33" i="2" s="1"/>
  <c r="Y25" i="2"/>
  <c r="Y24" i="2"/>
  <c r="Y23" i="2"/>
  <c r="Y31" i="2"/>
  <c r="Y21" i="2"/>
  <c r="Y15" i="2"/>
  <c r="Y20" i="2"/>
  <c r="Y19" i="2"/>
  <c r="Y30" i="2"/>
  <c r="Y27" i="2"/>
  <c r="Y29" i="2"/>
  <c r="Y26" i="2"/>
  <c r="Y14" i="2"/>
  <c r="Y28" i="2"/>
  <c r="Y34" i="2"/>
  <c r="Y32" i="2"/>
  <c r="Y18" i="2"/>
  <c r="Y16" i="2"/>
  <c r="Y22" i="2"/>
  <c r="AP33" i="2"/>
  <c r="AQ33" i="2" s="1"/>
  <c r="AP21" i="2"/>
  <c r="AQ21" i="2" s="1"/>
  <c r="AQ25" i="2"/>
  <c r="AQ24" i="2"/>
  <c r="AP20" i="2"/>
  <c r="AQ20" i="2" s="1"/>
  <c r="AQ23" i="2"/>
  <c r="AP14" i="2"/>
  <c r="AQ14" i="2" s="1"/>
  <c r="AP29" i="2"/>
  <c r="AQ29" i="2" s="1"/>
  <c r="AP18" i="2"/>
  <c r="AQ18" i="2" s="1"/>
  <c r="AP32" i="2"/>
  <c r="AQ32" i="2" s="1"/>
  <c r="AP22" i="2"/>
  <c r="AQ22" i="2" s="1"/>
  <c r="AP16" i="2"/>
  <c r="AQ16" i="2" s="1"/>
  <c r="AP30" i="2"/>
  <c r="AQ30" i="2" s="1"/>
  <c r="AP28" i="2"/>
  <c r="AQ28" i="2" s="1"/>
  <c r="AP34" i="2"/>
  <c r="AQ34" i="2" s="1"/>
  <c r="AP13" i="2"/>
  <c r="AP27" i="2"/>
  <c r="AQ27" i="2" s="1"/>
  <c r="AP15" i="2"/>
  <c r="AQ15" i="2" s="1"/>
  <c r="AP26" i="2"/>
  <c r="AQ26" i="2" s="1"/>
  <c r="AP31" i="2"/>
  <c r="AQ31" i="2" s="1"/>
  <c r="AP19" i="2"/>
  <c r="AQ19" i="2" s="1"/>
  <c r="AO6" i="2"/>
  <c r="AO10" i="2"/>
  <c r="AO12" i="2"/>
  <c r="AO7" i="2"/>
  <c r="AO9" i="2"/>
  <c r="AD12" i="2"/>
  <c r="AL11" i="2"/>
  <c r="AI12" i="2"/>
  <c r="AN7" i="2"/>
  <c r="AE6" i="2"/>
  <c r="AF9" i="2"/>
  <c r="AE9" i="2"/>
  <c r="AL9" i="2"/>
  <c r="AJ8" i="2"/>
  <c r="AG6" i="2"/>
  <c r="AC9" i="2"/>
  <c r="AB6" i="2"/>
  <c r="AE8" i="2"/>
  <c r="AD6" i="2"/>
  <c r="AI10" i="2"/>
  <c r="AC11" i="2"/>
  <c r="AC8" i="2"/>
  <c r="AE7" i="2"/>
  <c r="AB9" i="2"/>
  <c r="AH10" i="2"/>
  <c r="AJ10" i="2"/>
  <c r="AJ12" i="2"/>
  <c r="AF7" i="2"/>
  <c r="AJ6" i="2"/>
  <c r="AL10" i="2"/>
  <c r="AM7" i="2"/>
  <c r="AH6" i="2"/>
  <c r="AF10" i="2"/>
  <c r="AD9" i="2"/>
  <c r="AM6" i="2"/>
  <c r="AG8" i="2"/>
  <c r="AI7" i="2"/>
  <c r="AK10" i="2"/>
  <c r="AN6" i="2"/>
  <c r="AH9" i="2"/>
  <c r="AF6" i="2"/>
  <c r="AK12" i="2"/>
  <c r="AE10" i="2"/>
  <c r="AN10" i="2"/>
  <c r="AC10" i="2"/>
  <c r="AM10" i="2"/>
  <c r="AI6" i="2"/>
  <c r="AJ9" i="2"/>
  <c r="AI9" i="2"/>
  <c r="AG9" i="2"/>
  <c r="AG10" i="2"/>
  <c r="AK8" i="2"/>
  <c r="AM8" i="2"/>
  <c r="AK9" i="2"/>
  <c r="AM11" i="2"/>
  <c r="AK17" i="2"/>
  <c r="Y17" i="2" s="1"/>
  <c r="AN5" i="2"/>
  <c r="AM5" i="2"/>
  <c r="P8" i="12"/>
  <c r="P11" i="19"/>
  <c r="P11" i="10"/>
  <c r="P11" i="16"/>
  <c r="P9" i="9"/>
  <c r="P9" i="18"/>
  <c r="P9" i="7"/>
  <c r="P9" i="19"/>
  <c r="P5" i="13"/>
  <c r="P5" i="20"/>
  <c r="P7" i="17"/>
  <c r="P7" i="10"/>
  <c r="P10" i="13"/>
  <c r="P8" i="14"/>
  <c r="P8" i="13"/>
  <c r="P12" i="7"/>
  <c r="P8" i="11"/>
  <c r="P6" i="11"/>
  <c r="P10" i="18"/>
  <c r="P9" i="11"/>
  <c r="P7" i="16"/>
  <c r="P7" i="19"/>
  <c r="P8" i="18"/>
  <c r="P12" i="13"/>
  <c r="P8" i="16"/>
  <c r="P10" i="19"/>
  <c r="P11" i="18"/>
  <c r="P9" i="20"/>
  <c r="P11" i="11"/>
  <c r="P7" i="11"/>
  <c r="P11" i="17"/>
  <c r="P5" i="18"/>
  <c r="P7" i="8"/>
  <c r="P12" i="17"/>
  <c r="P10" i="14"/>
  <c r="P5" i="19"/>
  <c r="P6" i="8"/>
  <c r="P6" i="12"/>
  <c r="P6" i="16"/>
  <c r="P10" i="11"/>
  <c r="P12" i="8"/>
  <c r="P7" i="7"/>
  <c r="P6" i="13"/>
  <c r="P10" i="12"/>
  <c r="P6" i="9"/>
  <c r="P12" i="14"/>
  <c r="P11" i="20"/>
  <c r="P9" i="16"/>
  <c r="P12" i="10"/>
  <c r="P10" i="10"/>
  <c r="P9" i="12"/>
  <c r="P8" i="19"/>
  <c r="P6" i="20"/>
  <c r="P5" i="10"/>
  <c r="P9" i="14"/>
  <c r="P12" i="11"/>
  <c r="P11" i="14"/>
  <c r="P6" i="10"/>
  <c r="P5" i="14"/>
  <c r="P12" i="20"/>
  <c r="P7" i="13"/>
  <c r="P6" i="17"/>
  <c r="P8" i="20"/>
  <c r="P9" i="17"/>
  <c r="P6" i="14"/>
  <c r="P6" i="19"/>
  <c r="P9" i="13"/>
  <c r="P5" i="12"/>
  <c r="P5" i="16"/>
  <c r="P9" i="10"/>
  <c r="P10" i="8"/>
  <c r="P8" i="8"/>
  <c r="P5" i="7"/>
  <c r="P7" i="18"/>
  <c r="P10" i="20"/>
  <c r="P11" i="8"/>
  <c r="P10" i="17"/>
  <c r="P12" i="9"/>
  <c r="P10" i="7"/>
  <c r="P11" i="13"/>
  <c r="P11" i="9"/>
  <c r="P6" i="18"/>
  <c r="P12" i="18"/>
  <c r="P11" i="7"/>
  <c r="P5" i="9"/>
  <c r="P5" i="17"/>
  <c r="P10" i="9"/>
  <c r="P7" i="20"/>
  <c r="P8" i="10"/>
  <c r="P9" i="8"/>
  <c r="P8" i="9"/>
  <c r="P8" i="17"/>
  <c r="P7" i="14"/>
  <c r="P5" i="11"/>
  <c r="P11" i="12"/>
  <c r="P8" i="7"/>
  <c r="P12" i="12"/>
  <c r="P6" i="7"/>
  <c r="P12" i="19"/>
  <c r="P10" i="16"/>
  <c r="P7" i="12"/>
  <c r="P7" i="9"/>
  <c r="P5" i="8"/>
  <c r="P4" i="20"/>
  <c r="P4" i="19"/>
  <c r="P4" i="9"/>
  <c r="P4" i="10"/>
  <c r="P4" i="11"/>
  <c r="P4" i="12"/>
  <c r="P4" i="17"/>
  <c r="P4" i="16"/>
  <c r="P4" i="14"/>
  <c r="P4" i="8"/>
  <c r="P4" i="13"/>
  <c r="P4" i="7"/>
  <c r="V12" i="2"/>
  <c r="V10" i="2"/>
  <c r="V8" i="2"/>
  <c r="V13" i="2"/>
  <c r="V7" i="2"/>
  <c r="V6" i="2"/>
  <c r="V11" i="2"/>
  <c r="V9" i="2"/>
  <c r="V5" i="2"/>
  <c r="U10" i="2"/>
  <c r="X10" i="2" s="1"/>
  <c r="U11" i="2"/>
  <c r="X11" i="2" s="1"/>
  <c r="U7" i="2"/>
  <c r="X7" i="2" s="1"/>
  <c r="U6" i="2"/>
  <c r="X6" i="2" s="1"/>
  <c r="U12" i="2"/>
  <c r="X12" i="2" s="1"/>
  <c r="U8" i="2"/>
  <c r="X8" i="2" s="1"/>
  <c r="U13" i="2"/>
  <c r="X13" i="2" s="1"/>
  <c r="U9" i="2"/>
  <c r="X9" i="2" s="1"/>
  <c r="U5" i="2"/>
  <c r="P8" i="15"/>
  <c r="P11" i="15"/>
  <c r="P12" i="15"/>
  <c r="P9" i="15"/>
  <c r="P7" i="15"/>
  <c r="P10" i="15"/>
  <c r="P6" i="15"/>
  <c r="P5" i="15"/>
  <c r="P4" i="15"/>
  <c r="H3" i="2"/>
  <c r="C12" i="3" s="1"/>
  <c r="L3" i="2"/>
  <c r="C6" i="3" s="1"/>
  <c r="H4" i="3"/>
  <c r="D2" i="3" s="1"/>
  <c r="N3" i="2"/>
  <c r="C15" i="3" s="1"/>
  <c r="G3" i="2"/>
  <c r="K3" i="2"/>
  <c r="F3" i="2"/>
  <c r="C8" i="3" s="1"/>
  <c r="J4" i="4" a="1"/>
  <c r="J4" i="4" s="1"/>
  <c r="O3" i="2"/>
  <c r="R3" i="2"/>
  <c r="C10" i="3" s="1"/>
  <c r="S3" i="2"/>
  <c r="P3" i="2"/>
  <c r="C20" i="3" s="1"/>
  <c r="J3" i="2"/>
  <c r="C13" i="3" s="1"/>
  <c r="I3" i="2"/>
  <c r="M3" i="2"/>
  <c r="Q3" i="2"/>
  <c r="E7" i="3"/>
  <c r="C7" i="3"/>
  <c r="E45" i="2" l="1"/>
  <c r="E4" i="2" s="1"/>
  <c r="D7" i="3" s="1"/>
  <c r="F45" i="2"/>
  <c r="F4" i="2" s="1"/>
  <c r="D8" i="3" s="1"/>
  <c r="C18" i="3"/>
  <c r="C11" i="3"/>
  <c r="C9" i="3"/>
  <c r="C14" i="3"/>
  <c r="C17" i="3"/>
  <c r="C16" i="3"/>
  <c r="C19" i="3"/>
  <c r="V90" i="2"/>
  <c r="V1" i="2" s="1"/>
  <c r="X5" i="2"/>
  <c r="Y13" i="2"/>
  <c r="Y8" i="2"/>
  <c r="Y11" i="2"/>
  <c r="Y5" i="2"/>
  <c r="Y12" i="2"/>
  <c r="Y10" i="2"/>
  <c r="Y9" i="2"/>
  <c r="Y6" i="2"/>
  <c r="Y7" i="2"/>
  <c r="AP11" i="2"/>
  <c r="AQ11" i="2" s="1"/>
  <c r="AP17" i="2"/>
  <c r="AQ17" i="2" s="1"/>
  <c r="AP7" i="2"/>
  <c r="AQ7" i="2" s="1"/>
  <c r="AQ13" i="2"/>
  <c r="AP5" i="2"/>
  <c r="AQ5" i="2" s="1"/>
  <c r="AP12" i="2"/>
  <c r="AQ12" i="2" s="1"/>
  <c r="AP10" i="2"/>
  <c r="AQ10" i="2" s="1"/>
  <c r="AP8" i="2"/>
  <c r="AQ8" i="2" s="1"/>
  <c r="AP9" i="2"/>
  <c r="AQ9" i="2" s="1"/>
  <c r="AP6" i="2"/>
  <c r="AQ6" i="2" s="1"/>
  <c r="P3" i="9"/>
  <c r="P3" i="14"/>
  <c r="P3" i="11"/>
  <c r="P3" i="20"/>
  <c r="P3" i="7"/>
  <c r="P3" i="17"/>
  <c r="P3" i="13"/>
  <c r="P3" i="12"/>
  <c r="P3" i="19"/>
  <c r="P3" i="16"/>
  <c r="P3" i="18"/>
  <c r="P3" i="10"/>
  <c r="P3" i="8"/>
  <c r="P3" i="15"/>
  <c r="I2" i="20"/>
  <c r="I5" i="20"/>
  <c r="I12" i="20"/>
  <c r="I16" i="20"/>
  <c r="I4" i="20"/>
  <c r="I10" i="20"/>
  <c r="I14" i="20"/>
  <c r="I18" i="20"/>
  <c r="I22" i="20"/>
  <c r="I26" i="20"/>
  <c r="I30" i="20"/>
  <c r="I34" i="20"/>
  <c r="I38" i="20"/>
  <c r="I8" i="20"/>
  <c r="I7" i="20"/>
  <c r="I11" i="20"/>
  <c r="I15" i="20"/>
  <c r="I19" i="20"/>
  <c r="I23" i="20"/>
  <c r="I27" i="20"/>
  <c r="I31" i="20"/>
  <c r="I35" i="20"/>
  <c r="I39" i="20"/>
  <c r="I20" i="20"/>
  <c r="I24" i="20"/>
  <c r="I28" i="20"/>
  <c r="I32" i="20"/>
  <c r="I36" i="20"/>
  <c r="I40" i="20"/>
  <c r="I3" i="20"/>
  <c r="I6" i="20"/>
  <c r="I9" i="20"/>
  <c r="I13" i="20"/>
  <c r="I17" i="20"/>
  <c r="I21" i="20"/>
  <c r="I25" i="20"/>
  <c r="I29" i="20"/>
  <c r="I33" i="20"/>
  <c r="I1" i="20"/>
  <c r="I37" i="20"/>
  <c r="S49" i="2" a="1"/>
  <c r="S51" i="2" a="1"/>
  <c r="S53" i="2" a="1"/>
  <c r="S52" i="2" a="1"/>
  <c r="S50" i="2" a="1"/>
  <c r="S54" i="2" a="1"/>
  <c r="S61" i="2" a="1"/>
  <c r="S66" i="2" a="1"/>
  <c r="S56" i="2" a="1"/>
  <c r="S62" i="2" a="1"/>
  <c r="S64" i="2" a="1"/>
  <c r="S57" i="2" a="1"/>
  <c r="S59" i="2" a="1"/>
  <c r="S58" i="2" a="1"/>
  <c r="S55" i="2" a="1"/>
  <c r="S65" i="2" a="1"/>
  <c r="S63" i="2" a="1"/>
  <c r="S60" i="2" a="1"/>
  <c r="S69" i="2" a="1"/>
  <c r="S68" i="2" a="1"/>
  <c r="S70" i="2" a="1"/>
  <c r="S67" i="2" a="1"/>
  <c r="S75" i="2" a="1"/>
  <c r="S74" i="2" a="1"/>
  <c r="S73" i="2" a="1"/>
  <c r="S72" i="2" a="1"/>
  <c r="S71" i="2" a="1"/>
  <c r="S78" i="2" a="1"/>
  <c r="S77" i="2" a="1"/>
  <c r="S79" i="2" a="1"/>
  <c r="S80" i="2" a="1"/>
  <c r="S76" i="2" a="1"/>
  <c r="S83" i="2" a="1"/>
  <c r="S81" i="2" a="1"/>
  <c r="S84" i="2" a="1"/>
  <c r="S85" i="2" a="1"/>
  <c r="S82" i="2" a="1"/>
  <c r="E15" i="3" a="1"/>
  <c r="E11" i="3" a="1"/>
  <c r="E16" i="3" a="1"/>
  <c r="E10" i="3" a="1"/>
  <c r="E12" i="3" a="1"/>
  <c r="E19" i="3" a="1"/>
  <c r="E9" i="3" a="1"/>
  <c r="E8" i="3" a="1"/>
  <c r="E13" i="3" a="1"/>
  <c r="E20" i="3" a="1"/>
  <c r="E18" i="3" a="1"/>
  <c r="E17" i="3" a="1"/>
  <c r="E6" i="3" a="1"/>
  <c r="E14" i="3" a="1"/>
  <c r="L45" i="2" l="1"/>
  <c r="L4" i="2" s="1"/>
  <c r="D6" i="3" s="1"/>
  <c r="M45" i="2"/>
  <c r="M4" i="2" s="1"/>
  <c r="D11" i="3" s="1"/>
  <c r="R45" i="2"/>
  <c r="R4" i="2" s="1"/>
  <c r="D10" i="3" s="1"/>
  <c r="P45" i="2"/>
  <c r="P4" i="2" s="1"/>
  <c r="D20" i="3" s="1"/>
  <c r="K45" i="2"/>
  <c r="K4" i="2" s="1"/>
  <c r="D16" i="3" s="1"/>
  <c r="I45" i="2"/>
  <c r="I4" i="2" s="1"/>
  <c r="D9" i="3" s="1"/>
  <c r="N45" i="2"/>
  <c r="N4" i="2" s="1"/>
  <c r="D15" i="3" s="1"/>
  <c r="O45" i="2"/>
  <c r="O4" i="2" s="1"/>
  <c r="D19" i="3" s="1"/>
  <c r="H45" i="2"/>
  <c r="H4" i="2" s="1"/>
  <c r="D12" i="3" s="1"/>
  <c r="J45" i="2"/>
  <c r="J4" i="2" s="1"/>
  <c r="D13" i="3" s="1"/>
  <c r="G45" i="2"/>
  <c r="G4" i="2" s="1"/>
  <c r="D14" i="3" s="1"/>
  <c r="Q45" i="2"/>
  <c r="Q4" i="2" s="1"/>
  <c r="D18" i="3" s="1"/>
  <c r="V91" i="2"/>
  <c r="V2" i="2" s="1"/>
  <c r="Y90" i="2"/>
  <c r="Y1" i="2" s="1"/>
  <c r="E9" i="3"/>
  <c r="E17" i="3"/>
  <c r="E16" i="3"/>
  <c r="E15" i="3"/>
  <c r="E20" i="3"/>
  <c r="E14" i="3"/>
  <c r="E11" i="3"/>
  <c r="E10" i="3"/>
  <c r="E19" i="3"/>
  <c r="E18" i="3"/>
  <c r="E13" i="3"/>
  <c r="E6" i="3"/>
  <c r="E12" i="3"/>
  <c r="E8" i="3"/>
  <c r="S52" i="2"/>
  <c r="S58" i="2"/>
  <c r="S64" i="2"/>
  <c r="S68" i="2"/>
  <c r="S60" i="2"/>
  <c r="S74" i="2"/>
  <c r="S77" i="2"/>
  <c r="S81" i="2"/>
  <c r="S85" i="2"/>
  <c r="S51" i="2"/>
  <c r="S57" i="2"/>
  <c r="S50" i="2"/>
  <c r="S67" i="2"/>
  <c r="S71" i="2"/>
  <c r="S72" i="2"/>
  <c r="S84" i="2"/>
  <c r="S76" i="2"/>
  <c r="S80" i="2"/>
  <c r="S83" i="2"/>
  <c r="S56" i="2"/>
  <c r="S63" i="2"/>
  <c r="S66" i="2"/>
  <c r="S70" i="2"/>
  <c r="S73" i="2"/>
  <c r="S75" i="2"/>
  <c r="S79" i="2"/>
  <c r="S55" i="2"/>
  <c r="S59" i="2"/>
  <c r="S53" i="2"/>
  <c r="S54" i="2"/>
  <c r="S61" i="2"/>
  <c r="S65" i="2"/>
  <c r="S69" i="2"/>
  <c r="S62" i="2"/>
  <c r="S78" i="2"/>
  <c r="S82" i="2"/>
  <c r="S49" i="2"/>
  <c r="J25" i="20" a="1"/>
  <c r="J25" i="20" s="1"/>
  <c r="G30" i="20" a="1"/>
  <c r="G30" i="20" s="1"/>
  <c r="G22" i="20" a="1"/>
  <c r="G22" i="20" s="1"/>
  <c r="G18" i="20" a="1"/>
  <c r="G18" i="20" s="1"/>
  <c r="G14" i="20" a="1"/>
  <c r="G14" i="20" s="1"/>
  <c r="G10" i="20" a="1"/>
  <c r="G10" i="20" s="1"/>
  <c r="G6" i="20" a="1"/>
  <c r="G6" i="20" s="1"/>
  <c r="G41" i="20" a="1"/>
  <c r="G41" i="20" s="1"/>
  <c r="G39" i="20" a="1"/>
  <c r="G39" i="20" s="1"/>
  <c r="G35" i="20" a="1"/>
  <c r="G35" i="20" s="1"/>
  <c r="G31" i="20" a="1"/>
  <c r="G31" i="20" s="1"/>
  <c r="G27" i="20" a="1"/>
  <c r="G27" i="20" s="1"/>
  <c r="G23" i="20" a="1"/>
  <c r="G23" i="20" s="1"/>
  <c r="G19" i="20" a="1"/>
  <c r="G19" i="20" s="1"/>
  <c r="G15" i="20" a="1"/>
  <c r="G15" i="20" s="1"/>
  <c r="G11" i="20" a="1"/>
  <c r="G11" i="20" s="1"/>
  <c r="G7" i="20" a="1"/>
  <c r="G7" i="20" s="1"/>
  <c r="G44" i="20" a="1"/>
  <c r="G44" i="20" s="1"/>
  <c r="G42" i="20" a="1"/>
  <c r="G42" i="20" s="1"/>
  <c r="G40" i="20" a="1"/>
  <c r="G40" i="20" s="1"/>
  <c r="G38" i="20" a="1"/>
  <c r="G38" i="20" s="1"/>
  <c r="G36" i="20" a="1"/>
  <c r="G36" i="20" s="1"/>
  <c r="G34" i="20" a="1"/>
  <c r="G34" i="20" s="1"/>
  <c r="G32" i="20" a="1"/>
  <c r="G32" i="20" s="1"/>
  <c r="G28" i="20" a="1"/>
  <c r="G28" i="20" s="1"/>
  <c r="G26" i="20" a="1"/>
  <c r="G26" i="20" s="1"/>
  <c r="G24" i="20" a="1"/>
  <c r="G24" i="20" s="1"/>
  <c r="G20" i="20" a="1"/>
  <c r="G20" i="20" s="1"/>
  <c r="G16" i="20" a="1"/>
  <c r="G16" i="20" s="1"/>
  <c r="G12" i="20" a="1"/>
  <c r="G12" i="20" s="1"/>
  <c r="G8" i="20" a="1"/>
  <c r="G8" i="20" s="1"/>
  <c r="G4" i="20" a="1"/>
  <c r="G4" i="20" s="1"/>
  <c r="G43" i="20" a="1"/>
  <c r="G43" i="20" s="1"/>
  <c r="G37" i="20" a="1"/>
  <c r="G37" i="20" s="1"/>
  <c r="G33" i="20" a="1"/>
  <c r="G33" i="20" s="1"/>
  <c r="G29" i="20" a="1"/>
  <c r="G29" i="20" s="1"/>
  <c r="G25" i="20" a="1"/>
  <c r="G25" i="20" s="1"/>
  <c r="G21" i="20" a="1"/>
  <c r="G21" i="20" s="1"/>
  <c r="G17" i="20" a="1"/>
  <c r="G17" i="20" s="1"/>
  <c r="G13" i="20" a="1"/>
  <c r="G13" i="20" s="1"/>
  <c r="G9" i="20" a="1"/>
  <c r="G9" i="20" s="1"/>
  <c r="G5" i="20" a="1"/>
  <c r="G5" i="20" s="1"/>
  <c r="J39" i="20" a="1"/>
  <c r="J39" i="20" s="1"/>
  <c r="J20" i="20" a="1"/>
  <c r="J20" i="20" s="1"/>
  <c r="J40" i="20" a="1"/>
  <c r="J40" i="20" s="1"/>
  <c r="J6" i="20" a="1"/>
  <c r="J6" i="20" s="1"/>
  <c r="J4" i="20" a="1"/>
  <c r="J4" i="20" s="1"/>
  <c r="J22" i="20" a="1"/>
  <c r="J22" i="20" s="1"/>
  <c r="J38" i="20" a="1"/>
  <c r="J38" i="20" s="1"/>
  <c r="J1" i="20" a="1"/>
  <c r="J1" i="20" s="1"/>
  <c r="J2" i="20" a="1"/>
  <c r="J2" i="20" s="1"/>
  <c r="J31" i="20" a="1"/>
  <c r="J31" i="20" s="1"/>
  <c r="J8" i="20" a="1"/>
  <c r="J8" i="20" s="1"/>
  <c r="J11" i="20" a="1"/>
  <c r="J11" i="20" s="1"/>
  <c r="J27" i="20" a="1"/>
  <c r="J27" i="20" s="1"/>
  <c r="J16" i="20" a="1"/>
  <c r="J16" i="20" s="1"/>
  <c r="J24" i="20" a="1"/>
  <c r="J24" i="20" s="1"/>
  <c r="J21" i="20" a="1"/>
  <c r="J21" i="20" s="1"/>
  <c r="J18" i="20" a="1"/>
  <c r="J18" i="20" s="1"/>
  <c r="J34" i="20" a="1"/>
  <c r="J34" i="20" s="1"/>
  <c r="J17" i="20" a="1"/>
  <c r="J17" i="20" s="1"/>
  <c r="J5" i="20" a="1"/>
  <c r="J5" i="20" s="1"/>
  <c r="J7" i="20" a="1"/>
  <c r="J7" i="20" s="1"/>
  <c r="J37" i="20" a="1"/>
  <c r="J37" i="20" s="1"/>
  <c r="J41" i="20" a="1"/>
  <c r="J41" i="20" s="1"/>
  <c r="J12" i="20" a="1"/>
  <c r="J12" i="20" s="1"/>
  <c r="J28" i="20" a="1"/>
  <c r="J28" i="20" s="1"/>
  <c r="J13" i="20" a="1"/>
  <c r="J13" i="20" s="1"/>
  <c r="J14" i="20" a="1"/>
  <c r="J14" i="20" s="1"/>
  <c r="J30" i="20" a="1"/>
  <c r="J30" i="20" s="1"/>
  <c r="J3" i="20" a="1"/>
  <c r="J3" i="20" s="1"/>
  <c r="J15" i="20" a="1"/>
  <c r="J15" i="20" s="1"/>
  <c r="J36" i="20" a="1"/>
  <c r="J36" i="20" s="1"/>
  <c r="J33" i="20" a="1"/>
  <c r="J33" i="20" s="1"/>
  <c r="J19" i="20" a="1"/>
  <c r="J19" i="20" s="1"/>
  <c r="J35" i="20" a="1"/>
  <c r="J35" i="20" s="1"/>
  <c r="J32" i="20" a="1"/>
  <c r="J32" i="20" s="1"/>
  <c r="J9" i="20" a="1"/>
  <c r="J9" i="20" s="1"/>
  <c r="J10" i="20" a="1"/>
  <c r="J10" i="20" s="1"/>
  <c r="J26" i="20" a="1"/>
  <c r="J26" i="20" s="1"/>
  <c r="J29" i="20" a="1"/>
  <c r="J29" i="20" s="1"/>
  <c r="J23" i="20" a="1"/>
  <c r="J23" i="20" s="1"/>
  <c r="Y91" i="2" l="1"/>
  <c r="Y2" i="2" s="1"/>
  <c r="S45" i="2"/>
  <c r="S4" i="2" l="1"/>
  <c r="D1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tc={321C72BD-2F09-4A48-A77B-CAFA895D343C}</author>
    <author>tc={78EF944F-0BF6-49D9-882D-FC661930CD62}</author>
  </authors>
  <commentList>
    <comment ref="E3" authorId="0" shapeId="0" xr:uid="{321C72BD-2F09-4A48-A77B-CAFA895D343C}">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78EF944F-0BF6-49D9-882D-FC661930CD62}">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tc={E024ED2D-F081-438B-97EF-B11E202BB578}</author>
    <author>tc={D2AF6C8D-CBF7-4F9C-B4FF-A5695CB25BAD}</author>
  </authors>
  <commentList>
    <comment ref="E3" authorId="0" shapeId="0" xr:uid="{E024ED2D-F081-438B-97EF-B11E202BB578}">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D2AF6C8D-CBF7-4F9C-B4FF-A5695CB25BAD}">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tc={C9282057-23EF-4F19-B87D-2FC6148A8F97}</author>
    <author>tc={A3A2E6B9-6D73-4BC0-BAD9-2A56A726B3D3}</author>
  </authors>
  <commentList>
    <comment ref="E3" authorId="0" shapeId="0" xr:uid="{C9282057-23EF-4F19-B87D-2FC6148A8F97}">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A3A2E6B9-6D73-4BC0-BAD9-2A56A726B3D3}">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tc={8923CC82-B723-470F-83C3-3B726BBA8FAC}</author>
    <author>tc={E6428302-32E3-46B6-AE59-C5CE802958FD}</author>
  </authors>
  <commentList>
    <comment ref="E3" authorId="0" shapeId="0" xr:uid="{8923CC82-B723-470F-83C3-3B726BBA8FAC}">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E6428302-32E3-46B6-AE59-C5CE802958FD}">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tc={63BB4FBB-3F86-4440-BD63-DE5260A51F0A}</author>
    <author>tc={924B0A10-9FD5-472F-B62A-FAD0BE9B2272}</author>
  </authors>
  <commentList>
    <comment ref="E3" authorId="0" shapeId="0" xr:uid="{63BB4FBB-3F86-4440-BD63-DE5260A51F0A}">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924B0A10-9FD5-472F-B62A-FAD0BE9B2272}">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tc={F6D4CA83-19F2-4FE2-B9B2-644B8E4CD30A}</author>
    <author>tc={B6046D77-1FFF-44D4-8F5B-9AE635D6350A}</author>
  </authors>
  <commentList>
    <comment ref="E3" authorId="0" shapeId="0" xr:uid="{F6D4CA83-19F2-4FE2-B9B2-644B8E4CD30A}">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B6046D77-1FFF-44D4-8F5B-9AE635D6350A}">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tc={07228286-EC41-49AE-9375-AFDB7B44FA1F}</author>
    <author>tc={1DF5C6EB-61CC-4A95-9A1B-BA40BCF57867}</author>
  </authors>
  <commentList>
    <comment ref="E3" authorId="0" shapeId="0" xr:uid="{07228286-EC41-49AE-9375-AFDB7B44FA1F}">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1DF5C6EB-61CC-4A95-9A1B-BA40BCF57867}">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tc={7C4AA33F-6C47-4E88-AFDB-A3985D3EB382}</author>
    <author>tc={0F2E82A6-42E1-4694-9B50-6E8A37999963}</author>
  </authors>
  <commentList>
    <comment ref="E3" authorId="0" shapeId="0" xr:uid="{7C4AA33F-6C47-4E88-AFDB-A3985D3EB382}">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0F2E82A6-42E1-4694-9B50-6E8A37999963}">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tc={70E377E2-19A5-41DB-AFF4-8F6F62567B76}</author>
    <author>tc={49DA87C1-0F69-4FE1-8D94-95CC08ECBE3D}</author>
  </authors>
  <commentList>
    <comment ref="E3" authorId="0" shapeId="0" xr:uid="{70E377E2-19A5-41DB-AFF4-8F6F62567B76}">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49DA87C1-0F69-4FE1-8D94-95CC08ECBE3D}">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tc={8F88FB2E-DF79-400E-A0C3-5A756EA3AA4B}</author>
    <author>tc={A25902DB-41DE-4BC4-AFB1-68753FF01635}</author>
  </authors>
  <commentList>
    <comment ref="E3" authorId="0" shapeId="0" xr:uid="{8F88FB2E-DF79-400E-A0C3-5A756EA3AA4B}">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A25902DB-41DE-4BC4-AFB1-68753FF01635}">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tc={04D3ED10-A076-49B6-9B57-2D699715001D}</author>
    <author>tc={7923BF9D-6A85-4435-8BD7-FA85B8542CE4}</author>
  </authors>
  <commentList>
    <comment ref="E3" authorId="0" shapeId="0" xr:uid="{04D3ED10-A076-49B6-9B57-2D699715001D}">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7923BF9D-6A85-4435-8BD7-FA85B8542CE4}">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tc={F0B97F13-9095-452E-822A-0844C841248D}</author>
    <author>tc={647ED6F8-77C8-4369-817B-0EC57BAFBB63}</author>
  </authors>
  <commentList>
    <comment ref="E3" authorId="0" shapeId="0" xr:uid="{F0B97F13-9095-452E-822A-0844C841248D}">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647ED6F8-77C8-4369-817B-0EC57BAFBB63}">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tc={48A913BD-9C79-4053-B3BD-E18EF96604EF}</author>
    <author>tc={113755BC-35AE-4199-AD4F-57B7E5129659}</author>
  </authors>
  <commentList>
    <comment ref="E3" authorId="0" shapeId="0" xr:uid="{48A913BD-9C79-4053-B3BD-E18EF96604EF}">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113755BC-35AE-4199-AD4F-57B7E5129659}">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tc={A1534F0A-42CE-4CBE-9C8B-6A137CB8EE99}</author>
    <author>tc={CCEC080F-07B8-4497-9266-887621912CB2}</author>
  </authors>
  <commentList>
    <comment ref="E3" authorId="0" shapeId="0" xr:uid="{A1534F0A-42CE-4CBE-9C8B-6A137CB8EE99}">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CCEC080F-07B8-4497-9266-887621912CB2}">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tc={2D7D03E6-F5F2-48C9-A3F4-87B8A91C6B0D}</author>
    <author>tc={2265A920-1F86-449F-9621-834ED18281AB}</author>
  </authors>
  <commentList>
    <comment ref="E3" authorId="0" shapeId="0" xr:uid="{2D7D03E6-F5F2-48C9-A3F4-87B8A91C6B0D}">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2265A920-1F86-449F-9621-834ED18281AB}">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tc={73EE2042-55B8-4808-97E4-441C9EDF147E}</author>
    <author>tc={544C3FAC-22DE-4B0C-BA59-57E32FB791A2}</author>
  </authors>
  <commentList>
    <comment ref="E3" authorId="0" shapeId="0" xr:uid="{73EE2042-55B8-4808-97E4-441C9EDF147E}">
      <text>
        <t>[Threaded comment]
Your version of Excel allows you to read this threaded comment; however, any edits to it will get removed if the file is opened in a newer version of Excel. Learn more: https://go.microsoft.com/fwlink/?linkid=870924
Comment:
    Drop down list to choose between the two teams. Can delete to restart.
Can also just type it in</t>
      </text>
    </comment>
    <comment ref="F3" authorId="1" shapeId="0" xr:uid="{544C3FAC-22DE-4B0C-BA59-57E32FB791A2}">
      <text>
        <t>[Threaded comment]
Your version of Excel allows you to read this threaded comment; however, any edits to it will get removed if the file is opened in a newer version of Excel. Learn more: https://go.microsoft.com/fwlink/?linkid=870924
Comment:
    Drop down list with all confidence points.
Can also type number.
Number is removed from list and 'confidence remaining' column after being used.
Red if number used more than once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<sst xmlns="http://schemas.openxmlformats.org/spreadsheetml/2006/main" count="3326" uniqueCount="178">
  <si>
    <t>Name:</t>
  </si>
  <si>
    <t>Playing for money?</t>
  </si>
  <si>
    <t>Date</t>
  </si>
  <si>
    <t>Bowl</t>
  </si>
  <si>
    <t>Teams</t>
  </si>
  <si>
    <t>Choice</t>
  </si>
  <si>
    <t>Confidence</t>
  </si>
  <si>
    <t>Remaining</t>
  </si>
  <si>
    <t>Bahamas Bowl</t>
  </si>
  <si>
    <t xml:space="preserve">Buffalo </t>
  </si>
  <si>
    <t>Charlotte</t>
  </si>
  <si>
    <t>Frisco Bowl</t>
  </si>
  <si>
    <t xml:space="preserve">Utah State </t>
  </si>
  <si>
    <t>Kent State</t>
  </si>
  <si>
    <t>Celebration Bowl</t>
  </si>
  <si>
    <t xml:space="preserve">Alcorn State </t>
  </si>
  <si>
    <t>North Carolina A&amp;T</t>
  </si>
  <si>
    <t>New Mexico Bowl</t>
  </si>
  <si>
    <t xml:space="preserve">San Diego State </t>
  </si>
  <si>
    <t>Central Michigan</t>
  </si>
  <si>
    <t>Cure Bowl</t>
  </si>
  <si>
    <t xml:space="preserve">Georgia Southern </t>
  </si>
  <si>
    <t>Liberty</t>
  </si>
  <si>
    <t>Boca Raton Bowl</t>
  </si>
  <si>
    <t xml:space="preserve">SMU </t>
  </si>
  <si>
    <t>FAU</t>
  </si>
  <si>
    <t>Camellia Bowl</t>
  </si>
  <si>
    <t xml:space="preserve">FIU </t>
  </si>
  <si>
    <t>Arkansas State</t>
  </si>
  <si>
    <t>Las Vegas Bowl</t>
  </si>
  <si>
    <t xml:space="preserve">Washington </t>
  </si>
  <si>
    <t>Boise State</t>
  </si>
  <si>
    <t>New Orleans Bowl</t>
  </si>
  <si>
    <t xml:space="preserve">Appalachian State </t>
  </si>
  <si>
    <t>UAB</t>
  </si>
  <si>
    <t>Gasparilla Bowl</t>
  </si>
  <si>
    <t xml:space="preserve">UCF </t>
  </si>
  <si>
    <t>Marshall</t>
  </si>
  <si>
    <t>Hawaii Bowl</t>
  </si>
  <si>
    <t xml:space="preserve">Hawaii </t>
  </si>
  <si>
    <t>BYU</t>
  </si>
  <si>
    <t>Independence Bowl</t>
  </si>
  <si>
    <t xml:space="preserve">Miami (FL) </t>
  </si>
  <si>
    <t>Louisiana Tech</t>
  </si>
  <si>
    <t>Quick Lane Bowl</t>
  </si>
  <si>
    <t xml:space="preserve">Pitt </t>
  </si>
  <si>
    <t>Eastern Michigan</t>
  </si>
  <si>
    <t>Military Bowl</t>
  </si>
  <si>
    <t xml:space="preserve">North Carolina </t>
  </si>
  <si>
    <t>Temple</t>
  </si>
  <si>
    <t>Pinstripe Bowl</t>
  </si>
  <si>
    <t xml:space="preserve">Wake Forest </t>
  </si>
  <si>
    <t>Michigan State</t>
  </si>
  <si>
    <t>Texas Bowl</t>
  </si>
  <si>
    <t xml:space="preserve">Oklahoma State </t>
  </si>
  <si>
    <t>Texas A&amp;M</t>
  </si>
  <si>
    <t>Holiday Bowl</t>
  </si>
  <si>
    <t xml:space="preserve">USC </t>
  </si>
  <si>
    <t>Iowa</t>
  </si>
  <si>
    <t>Cheez-It Bowl</t>
  </si>
  <si>
    <t xml:space="preserve">Air Force </t>
  </si>
  <si>
    <t>Washington State</t>
  </si>
  <si>
    <t>Camping World Bowl</t>
  </si>
  <si>
    <t xml:space="preserve">Notre Dame </t>
  </si>
  <si>
    <t>Iowa State</t>
  </si>
  <si>
    <t>Cotton Bowl</t>
  </si>
  <si>
    <t xml:space="preserve">Penn State </t>
  </si>
  <si>
    <t>Memphis</t>
  </si>
  <si>
    <t>Peach Bowl</t>
  </si>
  <si>
    <t xml:space="preserve">LSU </t>
  </si>
  <si>
    <t>Oklahoma</t>
  </si>
  <si>
    <t>Fiesta Bowl</t>
  </si>
  <si>
    <t xml:space="preserve">Ohio State </t>
  </si>
  <si>
    <t>Clemson</t>
  </si>
  <si>
    <t>First Responder Bowl</t>
  </si>
  <si>
    <t xml:space="preserve">Western Kentucky </t>
  </si>
  <si>
    <t>Western Michigan</t>
  </si>
  <si>
    <t>Music City Bowl</t>
  </si>
  <si>
    <t xml:space="preserve">Mississippi State </t>
  </si>
  <si>
    <t>Louis</t>
  </si>
  <si>
    <t>Redbox Bowl</t>
  </si>
  <si>
    <t xml:space="preserve">Illinois </t>
  </si>
  <si>
    <t>California</t>
  </si>
  <si>
    <t>Orange Bowl</t>
  </si>
  <si>
    <t xml:space="preserve">Florida </t>
  </si>
  <si>
    <t>Virginia</t>
  </si>
  <si>
    <t>Belk Bowl</t>
  </si>
  <si>
    <t xml:space="preserve">Kentucky </t>
  </si>
  <si>
    <t>Virginia Tech</t>
  </si>
  <si>
    <t>Sun Bowl</t>
  </si>
  <si>
    <t xml:space="preserve">Florida State </t>
  </si>
  <si>
    <t>Arizona State</t>
  </si>
  <si>
    <t>Liberty Bowl</t>
  </si>
  <si>
    <t>Navy</t>
  </si>
  <si>
    <t>Kansas State</t>
  </si>
  <si>
    <t>Arizona Bowl</t>
  </si>
  <si>
    <t xml:space="preserve">Georgia State </t>
  </si>
  <si>
    <t>Wyoming</t>
  </si>
  <si>
    <t>Alamo Bowl</t>
  </si>
  <si>
    <t xml:space="preserve">Utah </t>
  </si>
  <si>
    <t>Texas</t>
  </si>
  <si>
    <t>Citrus Bowl</t>
  </si>
  <si>
    <t xml:space="preserve">Alabama </t>
  </si>
  <si>
    <t>Michigan</t>
  </si>
  <si>
    <t>Outback Bowl</t>
  </si>
  <si>
    <t xml:space="preserve">Auburn </t>
  </si>
  <si>
    <t>Minnesota</t>
  </si>
  <si>
    <t>Rose Bowl</t>
  </si>
  <si>
    <t xml:space="preserve">Oregon </t>
  </si>
  <si>
    <t>Wisconsin</t>
  </si>
  <si>
    <t>Sugar Bowl</t>
  </si>
  <si>
    <t xml:space="preserve">Georgia </t>
  </si>
  <si>
    <t>Baylor</t>
  </si>
  <si>
    <t>Birmingham Bowl</t>
  </si>
  <si>
    <t xml:space="preserve">Boston College </t>
  </si>
  <si>
    <t>Cincinnati</t>
  </si>
  <si>
    <t>Gator Bowl</t>
  </si>
  <si>
    <t xml:space="preserve">Tennessee </t>
  </si>
  <si>
    <t>Indiana</t>
  </si>
  <si>
    <t>Potato Bowl</t>
  </si>
  <si>
    <t xml:space="preserve">Ohio </t>
  </si>
  <si>
    <t>Nevada</t>
  </si>
  <si>
    <t>Armed Forces Bowl</t>
  </si>
  <si>
    <t xml:space="preserve">Tulane </t>
  </si>
  <si>
    <t>Southern Miss</t>
  </si>
  <si>
    <t>Alabama Bowl</t>
  </si>
  <si>
    <t xml:space="preserve">Louisiana </t>
  </si>
  <si>
    <t>Miami(OH)</t>
  </si>
  <si>
    <t>Tiebreaker: National Champion &amp; Total Points Scored</t>
  </si>
  <si>
    <t>Winner</t>
  </si>
  <si>
    <t>Michael</t>
  </si>
  <si>
    <t>Joe</t>
  </si>
  <si>
    <t>Dan</t>
  </si>
  <si>
    <t>Ryan</t>
  </si>
  <si>
    <t>Suzanne</t>
  </si>
  <si>
    <t>Tyler</t>
  </si>
  <si>
    <t>Andrew</t>
  </si>
  <si>
    <t>Nathan</t>
  </si>
  <si>
    <t>Kent</t>
  </si>
  <si>
    <t>Ashleigh</t>
  </si>
  <si>
    <t>Courtney</t>
  </si>
  <si>
    <t>Points</t>
  </si>
  <si>
    <t>Choose Name</t>
  </si>
  <si>
    <t>Rank</t>
  </si>
  <si>
    <t>Name</t>
  </si>
  <si>
    <t>Yes</t>
  </si>
  <si>
    <t>Total Pot</t>
  </si>
  <si>
    <t>Today's Date</t>
  </si>
  <si>
    <t>Louisville</t>
  </si>
  <si>
    <t>Ohio State</t>
  </si>
  <si>
    <t>Ryan Porth</t>
  </si>
  <si>
    <t>Lousville</t>
  </si>
  <si>
    <t>Compare</t>
  </si>
  <si>
    <t>Suzanne Krudys</t>
  </si>
  <si>
    <t>Point Change</t>
  </si>
  <si>
    <t>LSU</t>
  </si>
  <si>
    <t>No</t>
  </si>
  <si>
    <t>Jordan</t>
  </si>
  <si>
    <t>Jay</t>
  </si>
  <si>
    <t>Mazzen</t>
  </si>
  <si>
    <t>Nick</t>
  </si>
  <si>
    <t>*Accidentally did confidence in reverse order</t>
  </si>
  <si>
    <t>*Says he does not want to switch it though</t>
  </si>
  <si>
    <t>Games Correct</t>
  </si>
  <si>
    <t>*hypothetical</t>
  </si>
  <si>
    <t>Correct Entries</t>
  </si>
  <si>
    <t>AVG Won</t>
  </si>
  <si>
    <t>Check</t>
  </si>
  <si>
    <t>AVG Lost</t>
  </si>
  <si>
    <t>Incorrect Entries</t>
  </si>
  <si>
    <t>Best Game</t>
  </si>
  <si>
    <t>Worst Game</t>
  </si>
  <si>
    <t>This is a spreadsheet that I built to automate the tracking of a College Football Bowl Pick 'Em. If you are unfamiliar with this concept,at the end of every college football season, teams that qualify play in season finale games called bowl games.  They are usually matchedup against a team with a similar record/season performance, and two of the bowls are semi-final games for the National Championship.There are 40 bowl games in total, and the idea of a bowl pick 'em is that you choose a winner of each game, and then assign a confidence number to each pick (40 being the highest).  If the team you choose wins, the confidence points that you chose for that gameget added to your total.  So for instance, you chose Pitt to beat Eastern Michigan with 32 confidence, and I chose Eastern Michigan to beat Pitt with 17 confidence.  Pitt won the game, so you would receive 32 points, and I would receive 0.</t>
  </si>
  <si>
    <t>The first component that I built for this project can be found on the Form tab.  This was sent out to each participant to make their selections and assign their confidence points.  I built it so that you could choose each winner from a drop down list, so you could be sure of accuracy, but it also standardized the way people chose winning teams, which allowed future formulas to be accurate.  After choosing the winner, you assigned confidence points.  You'll notice if you play around with the spreadsheet that after you assign a confidence number to a game, it disappears from the "remaining list" allowing you to easily track which numbers still need to be used. To make sure that each sheet is filled out wholely and accurately, all cells requiring input are yellow when empty, but return to no fill when completed.  Cells in the "Form" tab also turn red when a confidence number is duplicated.</t>
  </si>
  <si>
    <t>The summary tab is probably the most important tab in the spreadsheet.  Once all forms had been collected, I built this tab to track the outcomes of each game.  After each game has concluded, you choose who won, and the spreadsheet automatically calculates who got it right/who got it wrong, how many points each person receives, and how many potential points they have remaining.  Obviously, all the games for this bowl season have concluded, but feel free to delete/change winners to see how it affects the rest of the project.</t>
  </si>
  <si>
    <t>Next is the standings tab.  This tab takes the relevant information from the Summary tab to calculate the standings at any given moment.  It does not update automatically, but can be triggered by pressing the Update button, which runs a simple macro that sorts the standings first by points, and then by points remaining.  At the top tracks the total pot, which takes information from each individual's form they submitted indicating whether or not they wanted to play for a small amount of money.  The games correct column of the standings was a little bit of functionality that I added later on just to track who had been most accurately predicted the outcome of games, regardless of confidence point total.</t>
  </si>
  <si>
    <t>The rest of the project was added functionality.  The H2H tab allows you to choose two competitors, and it shows each person's predictions side by side for comparison.  Choose whichever two people you would like from the drop down list and their predictions populate the cells automatically, with additional columns describing the differences between each prediction.
Unfortunately, the last two functionality tabs no longer work, because they rely on today's date, and in order for them to be functional, the date needed to fall during bowl season.  The Today's Games tab showed all of the games that were happening that day (sometimes none, sometimes several), with each participant's picks and confidence points assigned to each.  The Remaining Games tab worked in a similar way, but showed not only today's games, but all of the remaining games to be played, with picks and confidence points.</t>
  </si>
  <si>
    <t>I believe that that is all I really have to say about each tab/the functionality of the project.  Thank you for taking the time to look at my/play with my project, as it took me a long time to construct and was difficult to perfect it.  This project relied heavily on the Indirect &amp; Vlookup functions and was a lot of fun to make.  This is the kind of thing that I am passionate about and gets me excited, so if you are a job recruiter viewing this, I hope that I can bring this kind of experience and creativity to your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</si>
</sst>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d;@"/>
    <numFmt numFmtId="165" formatCode="_(&quot;$&quot;* #,##0_);_(&quot;$&quot;* \(#,##0\);_(&quot;$&quot;* &quot;-&quot;??_);_(@_)"/>
    <numFmt numFmtId="166" formatCode="0.00000%"/>
    <numFmt numFmtId="167" formatCode="0.0000%"/>
  </numFmts>
  <fonts count="13" x14ac:knownFonts="1">
    <font>
      <sz val="11"/>
      <color theme="1"/>
      <name val="Calibri"/>
      <family val="2"/>
      <scheme val="minor"/>
    </font>
    <font>
      <sz val="11"/>
      <color theme="1"/>
      <name val="Calibri"/>
      <family val="2"/>
      <scheme val="minor"/>
    </font>
    <font>
      <b/>
      <sz val="14"/>
      <color theme="1"/>
      <name val="Calibri"/>
      <family val="2"/>
      <scheme val="minor"/>
    </font>
    <font>
      <b/>
      <sz val="12"/>
      <color theme="1"/>
      <name val="Calibri"/>
      <family val="2"/>
      <scheme val="minor"/>
    </font>
    <font>
      <b/>
      <sz val="8"/>
      <color rgb="FF0A0101"/>
      <name val="Calibri"/>
      <family val="2"/>
      <scheme val="minor"/>
    </font>
    <font>
      <b/>
      <sz val="13"/>
      <color theme="1"/>
      <name val="Calibri"/>
      <family val="2"/>
      <scheme val="minor"/>
    </font>
    <font>
      <b/>
      <sz val="13"/>
      <color rgb="FF0A0101"/>
      <name val="Calibri"/>
      <family val="2"/>
      <scheme val="minor"/>
    </font>
    <font>
      <sz val="8"/>
      <color rgb="FF0A0101"/>
      <name val="Arial"/>
      <family val="2"/>
    </font>
    <font>
      <b/>
      <sz val="8"/>
      <color rgb="FF333333"/>
      <name val="Calibri"/>
      <family val="2"/>
      <scheme val="minor"/>
    </font>
    <font>
      <sz val="12"/>
      <color theme="1"/>
      <name val="Calibri"/>
      <family val="2"/>
      <scheme val="minor"/>
    </font>
    <font>
      <sz val="14"/>
      <color theme="1"/>
      <name val="Calibri"/>
      <family val="2"/>
      <scheme val="minor"/>
    </font>
    <font>
      <sz val="16"/>
      <color theme="1"/>
      <name val="Calibri"/>
      <family val="2"/>
      <scheme val="minor"/>
    </font>
    <font>
      <b/>
      <sz val="7"/>
      <color rgb="FF333333"/>
      <name val="Arial"/>
      <family val="2"/>
    </font>
  </fonts>
  <fills count="12">
    <fill>
      <patternFill patternType="none"/>
    </fill>
    <fill>
      <patternFill patternType="gray125"/>
    </fill>
    <fill>
      <patternFill patternType="solid">
        <fgColor rgb="FF92D05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rgb="FFFFD700"/>
        <bgColor indexed="64"/>
      </patternFill>
    </fill>
    <fill>
      <patternFill patternType="solid">
        <fgColor rgb="FFC0C0C0"/>
        <bgColor indexed="64"/>
      </patternFill>
    </fill>
    <fill>
      <patternFill patternType="solid">
        <fgColor rgb="FFCD7F3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s>
  <borders count="34">
    <border>
      <left/>
      <right/>
      <top/>
      <bottom/>
      <diagonal/>
    </border>
    <border>
      <left/>
      <right/>
      <top/>
      <bottom style="medium">
        <color auto="1"/>
      </bottom>
      <diagonal/>
    </border>
    <border>
      <left style="medium">
        <color auto="1"/>
      </left>
      <right style="medium">
        <color auto="1"/>
      </right>
      <top style="medium">
        <color auto="1"/>
      </top>
      <bottom style="thick">
        <color auto="1"/>
      </bottom>
      <diagonal/>
    </border>
    <border>
      <left style="medium">
        <color auto="1"/>
      </left>
      <right style="medium">
        <color auto="1"/>
      </right>
      <top/>
      <bottom/>
      <diagonal/>
    </border>
    <border>
      <left style="medium">
        <color auto="1"/>
      </left>
      <right style="hair">
        <color auto="1"/>
      </right>
      <top style="thick">
        <color auto="1"/>
      </top>
      <bottom/>
      <diagonal/>
    </border>
    <border>
      <left style="hair">
        <color auto="1"/>
      </left>
      <right style="medium">
        <color auto="1"/>
      </right>
      <top style="thick">
        <color auto="1"/>
      </top>
      <bottom/>
      <diagonal/>
    </border>
    <border>
      <left style="medium">
        <color auto="1"/>
      </left>
      <right style="hair">
        <color auto="1"/>
      </right>
      <top/>
      <bottom/>
      <diagonal/>
    </border>
    <border>
      <left style="hair">
        <color auto="1"/>
      </left>
      <right style="medium">
        <color auto="1"/>
      </right>
      <top/>
      <bottom/>
      <diagonal/>
    </border>
    <border>
      <left style="medium">
        <color auto="1"/>
      </left>
      <right style="medium">
        <color auto="1"/>
      </right>
      <top/>
      <bottom style="medium">
        <color auto="1"/>
      </bottom>
      <diagonal/>
    </border>
    <border>
      <left style="medium">
        <color auto="1"/>
      </left>
      <right style="hair">
        <color auto="1"/>
      </right>
      <top/>
      <bottom style="medium">
        <color auto="1"/>
      </bottom>
      <diagonal/>
    </border>
    <border>
      <left style="hair">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24">
    <xf numFmtId="0" fontId="0" fillId="0" borderId="0" xfId="0"/>
    <xf numFmtId="0" fontId="4" fillId="0" borderId="0" xfId="0" applyFont="1"/>
    <xf numFmtId="0" fontId="3" fillId="2" borderId="2" xfId="0" applyFont="1" applyFill="1" applyBorder="1" applyAlignment="1">
      <alignment horizontal="center"/>
    </xf>
    <xf numFmtId="0" fontId="3" fillId="2" borderId="2" xfId="0" applyFont="1" applyFill="1" applyBorder="1" applyAlignment="1">
      <alignment horizontal="center"/>
    </xf>
    <xf numFmtId="164" fontId="0" fillId="0" borderId="3" xfId="0" applyNumberForma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3" fillId="0" borderId="3" xfId="0" applyFont="1" applyBorder="1" applyAlignment="1">
      <alignment horizontal="center"/>
    </xf>
    <xf numFmtId="0" fontId="5" fillId="0" borderId="3" xfId="0" applyFont="1" applyBorder="1" applyAlignment="1">
      <alignment horizontal="center"/>
    </xf>
    <xf numFmtId="0" fontId="6" fillId="0" borderId="3" xfId="0" applyFont="1" applyBorder="1" applyAlignment="1">
      <alignment horizontal="center"/>
    </xf>
    <xf numFmtId="0" fontId="7" fillId="0" borderId="0" xfId="0" applyFont="1"/>
    <xf numFmtId="0" fontId="0" fillId="0" borderId="6" xfId="0" applyBorder="1" applyAlignment="1">
      <alignment horizontal="center"/>
    </xf>
    <xf numFmtId="0" fontId="0" fillId="0" borderId="7" xfId="0" applyBorder="1" applyAlignment="1">
      <alignment horizontal="center"/>
    </xf>
    <xf numFmtId="0" fontId="8" fillId="0" borderId="0" xfId="0" applyFont="1"/>
    <xf numFmtId="164" fontId="0" fillId="0" borderId="8" xfId="0" applyNumberForma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3" fillId="0" borderId="8" xfId="0" applyFont="1" applyBorder="1" applyAlignment="1">
      <alignment horizontal="center"/>
    </xf>
    <xf numFmtId="0" fontId="5" fillId="0" borderId="8" xfId="0" applyFont="1" applyBorder="1" applyAlignment="1">
      <alignment horizontal="center"/>
    </xf>
    <xf numFmtId="0" fontId="6" fillId="0" borderId="8" xfId="0" applyFont="1" applyBorder="1" applyAlignment="1">
      <alignment horizontal="center"/>
    </xf>
    <xf numFmtId="164" fontId="0" fillId="0" borderId="0" xfId="0" applyNumberFormat="1" applyAlignment="1">
      <alignment horizontal="center"/>
    </xf>
    <xf numFmtId="0" fontId="3"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0" fontId="0" fillId="0" borderId="0" xfId="0" applyAlignment="1">
      <alignment horizontal="center"/>
    </xf>
    <xf numFmtId="0" fontId="0" fillId="0" borderId="0" xfId="0" applyBorder="1"/>
    <xf numFmtId="164" fontId="0" fillId="5" borderId="3" xfId="0" applyNumberFormat="1"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164" fontId="0" fillId="5" borderId="8" xfId="0" applyNumberFormat="1" applyFill="1" applyBorder="1" applyAlignment="1">
      <alignment horizontal="center"/>
    </xf>
    <xf numFmtId="0" fontId="0" fillId="5" borderId="8" xfId="0" applyFill="1" applyBorder="1" applyAlignment="1">
      <alignment horizontal="center"/>
    </xf>
    <xf numFmtId="0" fontId="0" fillId="5" borderId="9" xfId="0" applyFill="1" applyBorder="1" applyAlignment="1">
      <alignment horizontal="center"/>
    </xf>
    <xf numFmtId="0" fontId="0" fillId="5" borderId="10" xfId="0" applyFill="1" applyBorder="1" applyAlignment="1">
      <alignment horizontal="center"/>
    </xf>
    <xf numFmtId="0" fontId="3" fillId="2" borderId="11" xfId="0" applyFont="1" applyFill="1" applyBorder="1" applyAlignment="1">
      <alignment horizontal="center"/>
    </xf>
    <xf numFmtId="0" fontId="0" fillId="3" borderId="3" xfId="0" applyFill="1" applyBorder="1"/>
    <xf numFmtId="0" fontId="0" fillId="3" borderId="8" xfId="0" applyFill="1" applyBorder="1"/>
    <xf numFmtId="0" fontId="9" fillId="0" borderId="15" xfId="0" applyFont="1" applyBorder="1" applyAlignment="1">
      <alignment horizontal="center" vertical="center"/>
    </xf>
    <xf numFmtId="0" fontId="9" fillId="0" borderId="16" xfId="0"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11" fillId="6" borderId="0" xfId="0" applyFont="1" applyFill="1" applyAlignment="1">
      <alignment horizontal="center"/>
    </xf>
    <xf numFmtId="0" fontId="10" fillId="7" borderId="0" xfId="0" applyFont="1" applyFill="1" applyAlignment="1">
      <alignment horizontal="center"/>
    </xf>
    <xf numFmtId="0" fontId="9" fillId="8" borderId="0" xfId="0" applyFont="1" applyFill="1" applyAlignment="1">
      <alignment horizontal="center"/>
    </xf>
    <xf numFmtId="0" fontId="9" fillId="0" borderId="0" xfId="0" applyFont="1" applyFill="1" applyBorder="1" applyAlignment="1">
      <alignment horizontal="center" vertical="center"/>
    </xf>
    <xf numFmtId="0" fontId="9" fillId="0" borderId="12" xfId="0" applyFont="1" applyBorder="1" applyAlignment="1">
      <alignment horizontal="center" vertical="center"/>
    </xf>
    <xf numFmtId="0" fontId="9" fillId="0" borderId="13" xfId="0" applyFont="1" applyBorder="1" applyAlignment="1">
      <alignment horizontal="center" vertical="center"/>
    </xf>
    <xf numFmtId="0" fontId="9" fillId="0" borderId="14" xfId="0" applyFont="1" applyBorder="1" applyAlignment="1">
      <alignment horizontal="center" vertical="center"/>
    </xf>
    <xf numFmtId="0" fontId="9" fillId="0" borderId="6" xfId="0" applyFont="1" applyFill="1" applyBorder="1" applyAlignment="1">
      <alignment horizontal="center" vertical="center"/>
    </xf>
    <xf numFmtId="0" fontId="3" fillId="2" borderId="21" xfId="0" applyFont="1" applyFill="1" applyBorder="1" applyAlignment="1">
      <alignment horizontal="center"/>
    </xf>
    <xf numFmtId="0" fontId="3" fillId="2" borderId="22" xfId="0" applyFont="1" applyFill="1" applyBorder="1" applyAlignment="1">
      <alignment horizontal="center"/>
    </xf>
    <xf numFmtId="0" fontId="3" fillId="2" borderId="23" xfId="0" applyFont="1" applyFill="1" applyBorder="1" applyAlignment="1">
      <alignment horizont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8" xfId="0" applyFont="1" applyFill="1" applyBorder="1" applyAlignment="1">
      <alignment horizontal="center" vertical="center"/>
    </xf>
    <xf numFmtId="0" fontId="3" fillId="4" borderId="19" xfId="0" applyFont="1" applyFill="1" applyBorder="1" applyAlignment="1">
      <alignment horizontal="center" vertical="center"/>
    </xf>
    <xf numFmtId="0" fontId="3" fillId="4" borderId="20" xfId="0" applyFont="1" applyFill="1" applyBorder="1" applyAlignment="1">
      <alignment horizontal="center" vertical="center"/>
    </xf>
    <xf numFmtId="164" fontId="0" fillId="5" borderId="11" xfId="0" applyNumberFormat="1" applyFill="1" applyBorder="1" applyAlignment="1">
      <alignment horizontal="center"/>
    </xf>
    <xf numFmtId="0" fontId="0" fillId="5" borderId="11" xfId="0" applyFill="1" applyBorder="1" applyAlignment="1">
      <alignment horizontal="center"/>
    </xf>
    <xf numFmtId="0" fontId="3" fillId="0" borderId="0" xfId="0" applyFont="1"/>
    <xf numFmtId="14" fontId="0" fillId="0" borderId="0" xfId="0" applyNumberFormat="1" applyAlignment="1">
      <alignment horizontal="center"/>
    </xf>
    <xf numFmtId="165" fontId="2" fillId="0" borderId="0" xfId="1" applyNumberFormat="1" applyFont="1"/>
    <xf numFmtId="0" fontId="3" fillId="2" borderId="2" xfId="0" applyFont="1" applyFill="1" applyBorder="1" applyAlignment="1">
      <alignment horizontal="center"/>
    </xf>
    <xf numFmtId="0" fontId="3" fillId="2" borderId="2" xfId="0" applyFont="1" applyFill="1" applyBorder="1" applyAlignment="1">
      <alignment horizontal="center"/>
    </xf>
    <xf numFmtId="0" fontId="3" fillId="2" borderId="2" xfId="0" applyFont="1" applyFill="1" applyBorder="1" applyAlignment="1">
      <alignment horizontal="center"/>
    </xf>
    <xf numFmtId="0" fontId="0" fillId="0" borderId="0" xfId="0" applyBorder="1" applyAlignment="1">
      <alignment horizontal="center"/>
    </xf>
    <xf numFmtId="1" fontId="0" fillId="0" borderId="0" xfId="0" applyNumberFormat="1" applyAlignment="1">
      <alignment horizontal="center"/>
    </xf>
    <xf numFmtId="1" fontId="0" fillId="0" borderId="0" xfId="0" applyNumberFormat="1"/>
    <xf numFmtId="0" fontId="9" fillId="9" borderId="12" xfId="0" applyFont="1" applyFill="1" applyBorder="1" applyAlignment="1">
      <alignment horizontal="center" vertical="center"/>
    </xf>
    <xf numFmtId="0" fontId="0" fillId="9" borderId="11" xfId="0" applyFill="1" applyBorder="1" applyAlignment="1">
      <alignment horizontal="center"/>
    </xf>
    <xf numFmtId="1" fontId="9" fillId="9" borderId="13" xfId="0" applyNumberFormat="1" applyFont="1" applyFill="1" applyBorder="1" applyAlignment="1">
      <alignment horizontal="center" vertical="center"/>
    </xf>
    <xf numFmtId="0" fontId="9" fillId="9" borderId="15" xfId="0" applyFont="1" applyFill="1" applyBorder="1" applyAlignment="1">
      <alignment horizontal="center" vertical="center"/>
    </xf>
    <xf numFmtId="0" fontId="0" fillId="9" borderId="3" xfId="0" applyFill="1" applyBorder="1" applyAlignment="1">
      <alignment horizontal="center"/>
    </xf>
    <xf numFmtId="1" fontId="9" fillId="9" borderId="16" xfId="0" applyNumberFormat="1" applyFont="1" applyFill="1" applyBorder="1" applyAlignment="1">
      <alignment horizontal="center" vertical="center"/>
    </xf>
    <xf numFmtId="0" fontId="9" fillId="9" borderId="18" xfId="0" applyFont="1" applyFill="1" applyBorder="1" applyAlignment="1">
      <alignment horizontal="center" vertical="center"/>
    </xf>
    <xf numFmtId="0" fontId="0" fillId="9" borderId="8" xfId="0" applyFill="1" applyBorder="1" applyAlignment="1">
      <alignment horizontal="center"/>
    </xf>
    <xf numFmtId="1" fontId="9" fillId="9" borderId="19" xfId="0" applyNumberFormat="1" applyFont="1" applyFill="1" applyBorder="1" applyAlignment="1">
      <alignment horizontal="center" vertical="center"/>
    </xf>
    <xf numFmtId="0" fontId="9" fillId="10" borderId="13" xfId="0" applyFont="1" applyFill="1" applyBorder="1" applyAlignment="1">
      <alignment horizontal="center" vertical="center"/>
    </xf>
    <xf numFmtId="1" fontId="9" fillId="10" borderId="14" xfId="0" applyNumberFormat="1" applyFont="1" applyFill="1" applyBorder="1" applyAlignment="1">
      <alignment horizontal="center" vertical="center"/>
    </xf>
    <xf numFmtId="0" fontId="9" fillId="10" borderId="16" xfId="0" applyFont="1" applyFill="1" applyBorder="1" applyAlignment="1">
      <alignment horizontal="center" vertical="center"/>
    </xf>
    <xf numFmtId="1" fontId="9" fillId="10" borderId="17" xfId="0" applyNumberFormat="1" applyFont="1" applyFill="1" applyBorder="1" applyAlignment="1">
      <alignment horizontal="center" vertical="center"/>
    </xf>
    <xf numFmtId="0" fontId="9" fillId="10" borderId="19" xfId="0" applyFont="1" applyFill="1" applyBorder="1" applyAlignment="1">
      <alignment horizontal="center" vertical="center"/>
    </xf>
    <xf numFmtId="1" fontId="9" fillId="10" borderId="20" xfId="0" applyNumberFormat="1" applyFont="1" applyFill="1" applyBorder="1" applyAlignment="1">
      <alignment horizontal="center" vertical="center"/>
    </xf>
    <xf numFmtId="0" fontId="0" fillId="9" borderId="26" xfId="0" applyFill="1" applyBorder="1" applyAlignment="1">
      <alignment horizontal="center"/>
    </xf>
    <xf numFmtId="1" fontId="0" fillId="9" borderId="27" xfId="0" applyNumberFormat="1" applyFill="1" applyBorder="1" applyAlignment="1">
      <alignment horizontal="center"/>
    </xf>
    <xf numFmtId="0" fontId="0" fillId="9" borderId="28" xfId="0" applyFill="1" applyBorder="1" applyAlignment="1">
      <alignment horizontal="center"/>
    </xf>
    <xf numFmtId="1" fontId="0" fillId="9" borderId="29" xfId="0" applyNumberFormat="1" applyFill="1" applyBorder="1" applyAlignment="1">
      <alignment horizontal="center"/>
    </xf>
    <xf numFmtId="0" fontId="0" fillId="10" borderId="26" xfId="0" applyFill="1" applyBorder="1" applyAlignment="1">
      <alignment horizontal="center"/>
    </xf>
    <xf numFmtId="1" fontId="0" fillId="10" borderId="27" xfId="0" applyNumberFormat="1" applyFill="1" applyBorder="1" applyAlignment="1">
      <alignment horizontal="center"/>
    </xf>
    <xf numFmtId="0" fontId="0" fillId="10" borderId="28" xfId="0" applyFill="1" applyBorder="1" applyAlignment="1">
      <alignment horizontal="center"/>
    </xf>
    <xf numFmtId="1" fontId="0" fillId="10" borderId="29" xfId="0" applyNumberFormat="1" applyFill="1" applyBorder="1" applyAlignment="1">
      <alignment horizontal="center"/>
    </xf>
    <xf numFmtId="9" fontId="12" fillId="0" borderId="0" xfId="2" applyFont="1"/>
    <xf numFmtId="9" fontId="0" fillId="0" borderId="0" xfId="0" applyNumberFormat="1"/>
    <xf numFmtId="166" fontId="0" fillId="0" borderId="0" xfId="0" applyNumberFormat="1"/>
    <xf numFmtId="167" fontId="0" fillId="0" borderId="0" xfId="0" applyNumberFormat="1"/>
    <xf numFmtId="0" fontId="0" fillId="0" borderId="0" xfId="0" applyAlignment="1"/>
    <xf numFmtId="0" fontId="0" fillId="0" borderId="0" xfId="0" applyAlignment="1">
      <alignment horizontal="left" vertical="center"/>
    </xf>
    <xf numFmtId="0" fontId="0" fillId="0" borderId="0" xfId="0" applyAlignment="1">
      <alignment horizontal="right"/>
    </xf>
    <xf numFmtId="0" fontId="2" fillId="0" borderId="0" xfId="0" applyFont="1" applyAlignment="1">
      <alignment horizontal="center" vertical="center"/>
    </xf>
    <xf numFmtId="0" fontId="2" fillId="0" borderId="1" xfId="0" applyFont="1" applyBorder="1" applyAlignment="1">
      <alignment horizontal="center" vertical="center"/>
    </xf>
    <xf numFmtId="0" fontId="3" fillId="0" borderId="0" xfId="0" applyFont="1" applyAlignment="1">
      <alignment horizontal="center" vertical="center"/>
    </xf>
    <xf numFmtId="0" fontId="3" fillId="0" borderId="1" xfId="0" applyFont="1" applyBorder="1" applyAlignment="1">
      <alignment horizontal="center" vertical="center"/>
    </xf>
    <xf numFmtId="0" fontId="3" fillId="2" borderId="2" xfId="0" applyFont="1" applyFill="1" applyBorder="1" applyAlignment="1">
      <alignment horizontal="center"/>
    </xf>
    <xf numFmtId="0" fontId="3" fillId="2" borderId="24" xfId="0" applyFont="1" applyFill="1" applyBorder="1" applyAlignment="1">
      <alignment horizontal="center"/>
    </xf>
    <xf numFmtId="0" fontId="3" fillId="2" borderId="25" xfId="0" applyFont="1" applyFill="1" applyBorder="1" applyAlignment="1">
      <alignment horizontal="center"/>
    </xf>
    <xf numFmtId="0" fontId="0" fillId="11" borderId="26" xfId="0" applyFill="1" applyBorder="1" applyAlignment="1">
      <alignment horizontal="center" wrapText="1"/>
    </xf>
    <xf numFmtId="0" fontId="0" fillId="11" borderId="30" xfId="0" applyFill="1" applyBorder="1" applyAlignment="1">
      <alignment horizontal="center" wrapText="1"/>
    </xf>
    <xf numFmtId="0" fontId="0" fillId="11" borderId="27" xfId="0" applyFill="1" applyBorder="1" applyAlignment="1">
      <alignment horizontal="center" wrapText="1"/>
    </xf>
    <xf numFmtId="0" fontId="0" fillId="11" borderId="31" xfId="0" applyFill="1" applyBorder="1" applyAlignment="1">
      <alignment horizontal="center" wrapText="1"/>
    </xf>
    <xf numFmtId="0" fontId="0" fillId="11" borderId="0" xfId="0" applyFill="1" applyBorder="1" applyAlignment="1">
      <alignment horizontal="center" wrapText="1"/>
    </xf>
    <xf numFmtId="0" fontId="0" fillId="11" borderId="32" xfId="0" applyFill="1" applyBorder="1" applyAlignment="1">
      <alignment horizontal="center" wrapText="1"/>
    </xf>
    <xf numFmtId="0" fontId="0" fillId="11" borderId="28" xfId="0" applyFill="1" applyBorder="1" applyAlignment="1">
      <alignment horizontal="center" vertical="center" wrapText="1"/>
    </xf>
    <xf numFmtId="0" fontId="0" fillId="11" borderId="33" xfId="0" applyFill="1" applyBorder="1" applyAlignment="1">
      <alignment horizontal="center" vertical="center" wrapText="1"/>
    </xf>
    <xf numFmtId="0" fontId="0" fillId="11" borderId="29" xfId="0" applyFill="1" applyBorder="1" applyAlignment="1">
      <alignment horizontal="center" vertical="center" wrapText="1"/>
    </xf>
    <xf numFmtId="0" fontId="0" fillId="4" borderId="31" xfId="0" applyFill="1" applyBorder="1" applyAlignment="1">
      <alignment horizontal="center"/>
    </xf>
    <xf numFmtId="0" fontId="0" fillId="4" borderId="0" xfId="0" applyFill="1" applyBorder="1" applyAlignment="1">
      <alignment horizontal="center"/>
    </xf>
    <xf numFmtId="0" fontId="0" fillId="4" borderId="32" xfId="0" applyFill="1" applyBorder="1" applyAlignment="1">
      <alignment horizontal="center"/>
    </xf>
  </cellXfs>
  <cellStyles count="3">
    <cellStyle name="Currency" xfId="1" builtinId="4"/>
    <cellStyle name="Normal" xfId="0" builtinId="0"/>
    <cellStyle name="Percent" xfId="2" builtinId="5"/>
  </cellStyles>
  <dxfs count="64">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00B050"/>
        </patternFill>
      </fill>
    </dxf>
    <dxf>
      <fill>
        <patternFill>
          <bgColor rgb="FFFF0000"/>
        </patternFill>
      </fill>
    </dxf>
    <dxf>
      <fill>
        <patternFill>
          <bgColor rgb="FFC00000"/>
        </patternFill>
      </fill>
    </dxf>
    <dxf>
      <fill>
        <patternFill patternType="solid">
          <bgColor rgb="FFEBE600"/>
        </patternFill>
      </fill>
    </dxf>
    <dxf>
      <fill>
        <patternFill>
          <bgColor rgb="FFC00000"/>
        </patternFill>
      </fill>
    </dxf>
    <dxf>
      <fill>
        <patternFill patternType="solid">
          <bgColor rgb="FFEBE600"/>
        </patternFill>
      </fill>
    </dxf>
  </dxfs>
  <tableStyles count="0" defaultTableStyle="TableStyleMedium2" defaultPivotStyle="PivotStyleLight16"/>
  <colors>
    <mruColors>
      <color rgb="FFCD7F32"/>
      <color rgb="FF503214"/>
      <color rgb="FFC0C0C0"/>
      <color rgb="FFFF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externalLink" Target="externalLinks/externalLink6.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0</xdr:col>
      <xdr:colOff>330200</xdr:colOff>
      <xdr:row>0</xdr:row>
      <xdr:rowOff>82550</xdr:rowOff>
    </xdr:from>
    <xdr:to>
      <xdr:col>1</xdr:col>
      <xdr:colOff>806450</xdr:colOff>
      <xdr:row>3</xdr:row>
      <xdr:rowOff>101600</xdr:rowOff>
    </xdr:to>
    <xdr:sp macro="[0]!Sort_Standings" textlink="">
      <xdr:nvSpPr>
        <xdr:cNvPr id="2" name="Rectangle: Rounded Corners 1">
          <a:extLst>
            <a:ext uri="{FF2B5EF4-FFF2-40B4-BE49-F238E27FC236}">
              <a16:creationId xmlns:a16="http://schemas.microsoft.com/office/drawing/2014/main" id="{6FA73758-D17C-4231-86B5-6E688E47E0BD}"/>
            </a:ext>
          </a:extLst>
        </xdr:cNvPr>
        <xdr:cNvSpPr/>
      </xdr:nvSpPr>
      <xdr:spPr>
        <a:xfrm>
          <a:off x="330200" y="82550"/>
          <a:ext cx="1568450" cy="571500"/>
        </a:xfrm>
        <a:prstGeom prst="roundRect">
          <a:avLst/>
        </a:prstGeom>
        <a:solidFill>
          <a:srgbClr val="92D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600" b="1">
              <a:solidFill>
                <a:sysClr val="windowText" lastClr="000000"/>
              </a:solidFill>
            </a:rPr>
            <a:t>Update</a:t>
          </a:r>
          <a:endParaRPr lang="en-US" sz="11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101600</xdr:colOff>
      <xdr:row>0</xdr:row>
      <xdr:rowOff>38100</xdr:rowOff>
    </xdr:from>
    <xdr:to>
      <xdr:col>5</xdr:col>
      <xdr:colOff>38100</xdr:colOff>
      <xdr:row>1</xdr:row>
      <xdr:rowOff>146050</xdr:rowOff>
    </xdr:to>
    <xdr:sp macro="[0]!Todays_Games" textlink="">
      <xdr:nvSpPr>
        <xdr:cNvPr id="2" name="Rectangle: Rounded Corners 1">
          <a:extLst>
            <a:ext uri="{FF2B5EF4-FFF2-40B4-BE49-F238E27FC236}">
              <a16:creationId xmlns:a16="http://schemas.microsoft.com/office/drawing/2014/main" id="{178A4BDB-10CC-4694-8DAF-4BCDC517E9F8}"/>
            </a:ext>
          </a:extLst>
        </xdr:cNvPr>
        <xdr:cNvSpPr/>
      </xdr:nvSpPr>
      <xdr:spPr>
        <a:xfrm>
          <a:off x="2203450" y="38100"/>
          <a:ext cx="1276350" cy="292100"/>
        </a:xfrm>
        <a:prstGeom prst="round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Update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273050</xdr:colOff>
      <xdr:row>0</xdr:row>
      <xdr:rowOff>38100</xdr:rowOff>
    </xdr:from>
    <xdr:to>
      <xdr:col>1</xdr:col>
      <xdr:colOff>749300</xdr:colOff>
      <xdr:row>1</xdr:row>
      <xdr:rowOff>152400</xdr:rowOff>
    </xdr:to>
    <xdr:sp macro="[0]!Remaining_Games" textlink="">
      <xdr:nvSpPr>
        <xdr:cNvPr id="3" name="Rectangle: Rounded Corners 2">
          <a:extLst>
            <a:ext uri="{FF2B5EF4-FFF2-40B4-BE49-F238E27FC236}">
              <a16:creationId xmlns:a16="http://schemas.microsoft.com/office/drawing/2014/main" id="{483CE220-94AD-43E7-817B-35BC50802E8B}"/>
            </a:ext>
          </a:extLst>
        </xdr:cNvPr>
        <xdr:cNvSpPr/>
      </xdr:nvSpPr>
      <xdr:spPr>
        <a:xfrm>
          <a:off x="273050" y="38100"/>
          <a:ext cx="1282700" cy="298450"/>
        </a:xfrm>
        <a:prstGeom prst="round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Update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yler\Desktop\Bowl%20Tracking%20Form.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yler\Downloads\Bowl%20Tracking%20Form%20(Michael).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yler\Downloads\Bowl%20Tracking%20Form%2020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Tyler\Downloads\Bowl%20Picks%2019-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Tyler\Downloads\Bowl%20Tracking%20Form.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Tyler\Downloads\Bowl%20Tracking%20Form%20(Kent%20Krudys)%20(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Tyler\Downloads\Courtney%20Bowl%20Pick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ames"/>
      <sheetName val="Sheet5"/>
      <sheetName val="Export"/>
    </sheetNames>
    <sheetDataSet>
      <sheetData sheetId="0">
        <row r="3">
          <cell r="G3"/>
        </row>
        <row r="4">
          <cell r="G4"/>
        </row>
      </sheetData>
      <sheetData sheetId="1">
        <row r="1">
          <cell r="J1">
            <v>1</v>
          </cell>
        </row>
        <row r="2">
          <cell r="J2">
            <v>2</v>
          </cell>
        </row>
        <row r="3">
          <cell r="J3">
            <v>3</v>
          </cell>
        </row>
        <row r="4">
          <cell r="J4">
            <v>4</v>
          </cell>
        </row>
        <row r="5">
          <cell r="J5">
            <v>5</v>
          </cell>
        </row>
        <row r="6">
          <cell r="J6">
            <v>6</v>
          </cell>
        </row>
        <row r="7">
          <cell r="J7">
            <v>7</v>
          </cell>
        </row>
        <row r="8">
          <cell r="J8">
            <v>8</v>
          </cell>
        </row>
        <row r="9">
          <cell r="J9">
            <v>9</v>
          </cell>
        </row>
        <row r="10">
          <cell r="J10">
            <v>10</v>
          </cell>
        </row>
        <row r="11">
          <cell r="J11">
            <v>11</v>
          </cell>
        </row>
        <row r="12">
          <cell r="J12">
            <v>12</v>
          </cell>
        </row>
        <row r="13">
          <cell r="J13">
            <v>13</v>
          </cell>
        </row>
        <row r="14">
          <cell r="J14">
            <v>14</v>
          </cell>
        </row>
        <row r="15">
          <cell r="J15">
            <v>15</v>
          </cell>
        </row>
        <row r="16">
          <cell r="J16">
            <v>16</v>
          </cell>
        </row>
        <row r="17">
          <cell r="J17">
            <v>17</v>
          </cell>
        </row>
        <row r="18">
          <cell r="J18">
            <v>18</v>
          </cell>
        </row>
        <row r="19">
          <cell r="J19">
            <v>19</v>
          </cell>
        </row>
        <row r="20">
          <cell r="J20">
            <v>20</v>
          </cell>
        </row>
        <row r="21">
          <cell r="J21">
            <v>21</v>
          </cell>
        </row>
        <row r="22">
          <cell r="J22">
            <v>22</v>
          </cell>
        </row>
        <row r="23">
          <cell r="J23">
            <v>23</v>
          </cell>
        </row>
        <row r="24">
          <cell r="J24">
            <v>24</v>
          </cell>
        </row>
        <row r="25">
          <cell r="J25">
            <v>25</v>
          </cell>
        </row>
        <row r="26">
          <cell r="J26">
            <v>26</v>
          </cell>
        </row>
        <row r="27">
          <cell r="J27">
            <v>27</v>
          </cell>
        </row>
        <row r="28">
          <cell r="J28">
            <v>28</v>
          </cell>
        </row>
        <row r="29">
          <cell r="J29">
            <v>29</v>
          </cell>
        </row>
        <row r="30">
          <cell r="J30">
            <v>30</v>
          </cell>
        </row>
        <row r="31">
          <cell r="J31">
            <v>31</v>
          </cell>
        </row>
        <row r="32">
          <cell r="J32">
            <v>32</v>
          </cell>
        </row>
        <row r="33">
          <cell r="J33">
            <v>33</v>
          </cell>
        </row>
        <row r="34">
          <cell r="J34">
            <v>34</v>
          </cell>
        </row>
        <row r="35">
          <cell r="J35">
            <v>35</v>
          </cell>
        </row>
        <row r="36">
          <cell r="J36">
            <v>36</v>
          </cell>
        </row>
        <row r="37">
          <cell r="J37">
            <v>37</v>
          </cell>
        </row>
        <row r="38">
          <cell r="J38">
            <v>38</v>
          </cell>
        </row>
        <row r="39">
          <cell r="J39">
            <v>39</v>
          </cell>
        </row>
        <row r="40">
          <cell r="J40">
            <v>40</v>
          </cell>
        </row>
        <row r="41">
          <cell r="J41" t="str">
            <v/>
          </cell>
        </row>
      </sheetData>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ames"/>
      <sheetName val="Sheet5"/>
      <sheetName val="Export"/>
    </sheetNames>
    <sheetDataSet>
      <sheetData sheetId="0">
        <row r="3">
          <cell r="G3" t="str">
            <v>Michael</v>
          </cell>
        </row>
        <row r="4">
          <cell r="G4" t="str">
            <v>Yes</v>
          </cell>
        </row>
      </sheetData>
      <sheetData sheetId="1">
        <row r="1">
          <cell r="J1" t="str">
            <v/>
          </cell>
        </row>
        <row r="2">
          <cell r="J2" t="str">
            <v/>
          </cell>
        </row>
        <row r="3">
          <cell r="J3" t="str">
            <v/>
          </cell>
        </row>
        <row r="4">
          <cell r="J4" t="str">
            <v/>
          </cell>
        </row>
        <row r="5">
          <cell r="J5" t="str">
            <v/>
          </cell>
        </row>
        <row r="6">
          <cell r="J6" t="str">
            <v/>
          </cell>
        </row>
        <row r="7">
          <cell r="J7" t="str">
            <v/>
          </cell>
        </row>
        <row r="8">
          <cell r="J8" t="str">
            <v/>
          </cell>
        </row>
        <row r="9">
          <cell r="J9" t="str">
            <v/>
          </cell>
        </row>
        <row r="10">
          <cell r="J10" t="str">
            <v/>
          </cell>
        </row>
        <row r="11">
          <cell r="J11" t="str">
            <v/>
          </cell>
        </row>
        <row r="12">
          <cell r="J12" t="str">
            <v/>
          </cell>
        </row>
        <row r="13">
          <cell r="J13" t="str">
            <v/>
          </cell>
        </row>
        <row r="14">
          <cell r="J14" t="str">
            <v/>
          </cell>
        </row>
        <row r="15">
          <cell r="J15" t="str">
            <v/>
          </cell>
        </row>
        <row r="16">
          <cell r="J16" t="str">
            <v/>
          </cell>
        </row>
        <row r="17">
          <cell r="J17" t="str">
            <v/>
          </cell>
        </row>
        <row r="18">
          <cell r="J18" t="str">
            <v/>
          </cell>
        </row>
        <row r="19">
          <cell r="J19" t="str">
            <v/>
          </cell>
        </row>
        <row r="20">
          <cell r="J20" t="str">
            <v/>
          </cell>
        </row>
        <row r="21">
          <cell r="J21" t="str">
            <v/>
          </cell>
        </row>
        <row r="22">
          <cell r="J22" t="str">
            <v/>
          </cell>
        </row>
        <row r="23">
          <cell r="J23" t="str">
            <v/>
          </cell>
        </row>
        <row r="24">
          <cell r="J24" t="str">
            <v/>
          </cell>
        </row>
        <row r="25">
          <cell r="J25" t="str">
            <v/>
          </cell>
        </row>
        <row r="26">
          <cell r="J26" t="str">
            <v/>
          </cell>
        </row>
        <row r="27">
          <cell r="J27" t="str">
            <v/>
          </cell>
        </row>
        <row r="28">
          <cell r="J28" t="str">
            <v/>
          </cell>
        </row>
        <row r="29">
          <cell r="J29" t="str">
            <v/>
          </cell>
        </row>
        <row r="30">
          <cell r="J30" t="str">
            <v/>
          </cell>
        </row>
        <row r="31">
          <cell r="J31" t="str">
            <v/>
          </cell>
        </row>
        <row r="32">
          <cell r="J32" t="str">
            <v/>
          </cell>
        </row>
        <row r="33">
          <cell r="J33" t="str">
            <v/>
          </cell>
        </row>
        <row r="34">
          <cell r="J34" t="str">
            <v/>
          </cell>
        </row>
        <row r="35">
          <cell r="J35" t="str">
            <v/>
          </cell>
        </row>
        <row r="36">
          <cell r="J36" t="str">
            <v/>
          </cell>
        </row>
        <row r="37">
          <cell r="J37" t="str">
            <v/>
          </cell>
        </row>
        <row r="38">
          <cell r="J38" t="str">
            <v/>
          </cell>
        </row>
        <row r="39">
          <cell r="J39" t="str">
            <v/>
          </cell>
        </row>
        <row r="40">
          <cell r="J40" t="str">
            <v/>
          </cell>
        </row>
        <row r="41">
          <cell r="J41" t="str">
            <v/>
          </cell>
        </row>
      </sheetData>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ames"/>
      <sheetName val="Sheet5"/>
      <sheetName val="Export"/>
    </sheetNames>
    <sheetDataSet>
      <sheetData sheetId="0">
        <row r="3">
          <cell r="G3" t="str">
            <v>Dan H</v>
          </cell>
        </row>
        <row r="4">
          <cell r="G4" t="str">
            <v>Yes</v>
          </cell>
        </row>
      </sheetData>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ames"/>
      <sheetName val="Sheet5"/>
      <sheetName val="Export"/>
    </sheetNames>
    <sheetDataSet>
      <sheetData sheetId="0"/>
      <sheetData sheetId="1">
        <row r="1">
          <cell r="J1" t="str">
            <v/>
          </cell>
        </row>
        <row r="2">
          <cell r="J2" t="str">
            <v/>
          </cell>
        </row>
        <row r="3">
          <cell r="J3" t="str">
            <v/>
          </cell>
        </row>
        <row r="4">
          <cell r="J4" t="str">
            <v/>
          </cell>
        </row>
        <row r="5">
          <cell r="J5" t="str">
            <v/>
          </cell>
        </row>
        <row r="6">
          <cell r="J6" t="str">
            <v/>
          </cell>
        </row>
        <row r="7">
          <cell r="J7" t="str">
            <v/>
          </cell>
        </row>
        <row r="8">
          <cell r="J8" t="str">
            <v/>
          </cell>
        </row>
        <row r="9">
          <cell r="J9" t="str">
            <v/>
          </cell>
        </row>
        <row r="10">
          <cell r="J10" t="str">
            <v/>
          </cell>
        </row>
        <row r="11">
          <cell r="J11" t="str">
            <v/>
          </cell>
        </row>
        <row r="12">
          <cell r="J12" t="str">
            <v/>
          </cell>
        </row>
        <row r="13">
          <cell r="J13" t="str">
            <v/>
          </cell>
        </row>
        <row r="14">
          <cell r="J14" t="str">
            <v/>
          </cell>
        </row>
        <row r="15">
          <cell r="J15" t="str">
            <v/>
          </cell>
        </row>
        <row r="16">
          <cell r="J16" t="str">
            <v/>
          </cell>
        </row>
        <row r="17">
          <cell r="J17" t="str">
            <v/>
          </cell>
        </row>
        <row r="18">
          <cell r="J18" t="str">
            <v/>
          </cell>
        </row>
        <row r="19">
          <cell r="J19" t="str">
            <v/>
          </cell>
        </row>
        <row r="20">
          <cell r="J20" t="str">
            <v/>
          </cell>
        </row>
        <row r="21">
          <cell r="J21" t="str">
            <v/>
          </cell>
        </row>
        <row r="22">
          <cell r="J22" t="str">
            <v/>
          </cell>
        </row>
        <row r="23">
          <cell r="J23" t="str">
            <v/>
          </cell>
        </row>
        <row r="24">
          <cell r="J24" t="str">
            <v/>
          </cell>
        </row>
        <row r="25">
          <cell r="J25" t="str">
            <v/>
          </cell>
        </row>
        <row r="26">
          <cell r="J26" t="str">
            <v/>
          </cell>
        </row>
        <row r="27">
          <cell r="J27" t="str">
            <v/>
          </cell>
        </row>
        <row r="28">
          <cell r="J28" t="str">
            <v/>
          </cell>
        </row>
        <row r="29">
          <cell r="J29" t="str">
            <v/>
          </cell>
        </row>
        <row r="30">
          <cell r="J30" t="str">
            <v/>
          </cell>
        </row>
        <row r="31">
          <cell r="J31" t="str">
            <v/>
          </cell>
        </row>
        <row r="32">
          <cell r="J32" t="str">
            <v/>
          </cell>
        </row>
        <row r="33">
          <cell r="J33" t="str">
            <v/>
          </cell>
        </row>
        <row r="34">
          <cell r="J34" t="str">
            <v/>
          </cell>
        </row>
        <row r="35">
          <cell r="J35" t="str">
            <v/>
          </cell>
        </row>
        <row r="36">
          <cell r="J36" t="str">
            <v/>
          </cell>
        </row>
        <row r="37">
          <cell r="J37" t="str">
            <v/>
          </cell>
        </row>
        <row r="38">
          <cell r="J38" t="str">
            <v/>
          </cell>
        </row>
        <row r="39">
          <cell r="J39" t="str">
            <v/>
          </cell>
        </row>
        <row r="40">
          <cell r="J40" t="str">
            <v/>
          </cell>
        </row>
        <row r="41">
          <cell r="J41" t="str">
            <v/>
          </cell>
        </row>
      </sheetData>
      <sheetData sheetId="2"/>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ames"/>
      <sheetName val="Sheet5"/>
      <sheetName val="Export"/>
    </sheetNames>
    <sheetDataSet>
      <sheetData sheetId="0">
        <row r="3">
          <cell r="G3" t="str">
            <v xml:space="preserve">Nathan </v>
          </cell>
        </row>
        <row r="4">
          <cell r="G4" t="str">
            <v>Yes</v>
          </cell>
        </row>
      </sheetData>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ames"/>
      <sheetName val="Sheet5"/>
      <sheetName val="Export"/>
    </sheetNames>
    <sheetDataSet>
      <sheetData sheetId="0">
        <row r="3">
          <cell r="G3" t="str">
            <v>Kent</v>
          </cell>
        </row>
        <row r="4">
          <cell r="G4" t="str">
            <v>Yes</v>
          </cell>
        </row>
      </sheetData>
      <sheetData sheetId="1"/>
      <sheetData sheetId="2"/>
      <sheetData sheetId="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ames"/>
      <sheetName val="Sheet5"/>
      <sheetName val="Export"/>
    </sheetNames>
    <sheetDataSet>
      <sheetData sheetId="0">
        <row r="3">
          <cell r="G3" t="str">
            <v xml:space="preserve">Courtney </v>
          </cell>
        </row>
        <row r="4">
          <cell r="G4" t="str">
            <v>Yes</v>
          </cell>
        </row>
      </sheetData>
      <sheetData sheetId="1">
        <row r="1">
          <cell r="J1" t="str">
            <v/>
          </cell>
        </row>
        <row r="2">
          <cell r="J2" t="str">
            <v/>
          </cell>
        </row>
        <row r="3">
          <cell r="J3" t="str">
            <v/>
          </cell>
        </row>
        <row r="4">
          <cell r="J4" t="str">
            <v/>
          </cell>
        </row>
        <row r="5">
          <cell r="J5" t="str">
            <v/>
          </cell>
        </row>
        <row r="6">
          <cell r="J6" t="str">
            <v/>
          </cell>
        </row>
        <row r="7">
          <cell r="J7" t="str">
            <v/>
          </cell>
        </row>
        <row r="8">
          <cell r="J8" t="str">
            <v/>
          </cell>
        </row>
        <row r="9">
          <cell r="J9" t="str">
            <v/>
          </cell>
        </row>
        <row r="10">
          <cell r="J10" t="str">
            <v/>
          </cell>
        </row>
        <row r="11">
          <cell r="J11" t="str">
            <v/>
          </cell>
        </row>
        <row r="12">
          <cell r="J12" t="str">
            <v/>
          </cell>
        </row>
        <row r="13">
          <cell r="J13" t="str">
            <v/>
          </cell>
        </row>
        <row r="14">
          <cell r="J14" t="str">
            <v/>
          </cell>
        </row>
        <row r="15">
          <cell r="J15" t="str">
            <v/>
          </cell>
        </row>
        <row r="16">
          <cell r="J16" t="str">
            <v/>
          </cell>
        </row>
        <row r="17">
          <cell r="J17" t="str">
            <v/>
          </cell>
        </row>
        <row r="18">
          <cell r="J18" t="str">
            <v/>
          </cell>
        </row>
        <row r="19">
          <cell r="J19" t="str">
            <v/>
          </cell>
        </row>
        <row r="20">
          <cell r="J20" t="str">
            <v/>
          </cell>
        </row>
        <row r="21">
          <cell r="J21" t="str">
            <v/>
          </cell>
        </row>
        <row r="22">
          <cell r="J22" t="str">
            <v/>
          </cell>
        </row>
        <row r="23">
          <cell r="J23" t="str">
            <v/>
          </cell>
        </row>
        <row r="24">
          <cell r="J24" t="str">
            <v/>
          </cell>
        </row>
        <row r="25">
          <cell r="J25" t="str">
            <v/>
          </cell>
        </row>
        <row r="26">
          <cell r="J26" t="str">
            <v/>
          </cell>
        </row>
        <row r="27">
          <cell r="J27" t="str">
            <v/>
          </cell>
        </row>
        <row r="28">
          <cell r="J28" t="str">
            <v/>
          </cell>
        </row>
        <row r="29">
          <cell r="J29" t="str">
            <v/>
          </cell>
        </row>
        <row r="30">
          <cell r="J30" t="str">
            <v/>
          </cell>
        </row>
        <row r="31">
          <cell r="J31" t="str">
            <v/>
          </cell>
        </row>
        <row r="32">
          <cell r="J32" t="str">
            <v/>
          </cell>
        </row>
        <row r="33">
          <cell r="J33" t="str">
            <v/>
          </cell>
        </row>
        <row r="34">
          <cell r="J34" t="str">
            <v/>
          </cell>
        </row>
        <row r="35">
          <cell r="J35" t="str">
            <v/>
          </cell>
        </row>
        <row r="36">
          <cell r="J36" t="str">
            <v/>
          </cell>
        </row>
        <row r="37">
          <cell r="J37" t="str">
            <v/>
          </cell>
        </row>
        <row r="38">
          <cell r="J38" t="str">
            <v/>
          </cell>
        </row>
        <row r="39">
          <cell r="J39" t="str">
            <v/>
          </cell>
        </row>
        <row r="40">
          <cell r="J40" t="str">
            <v/>
          </cell>
        </row>
        <row r="41">
          <cell r="J41" t="str">
            <v/>
          </cell>
        </row>
      </sheetData>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Tyler Fitzgerald" id="{02040B60-2F89-4805-AC61-647060EF0923}" userId="2d9d2f68af7dcb4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3" dT="2019-12-18T03:20:57.20" personId="{02040B60-2F89-4805-AC61-647060EF0923}" id="{321C72BD-2F09-4A48-A77B-CAFA895D343C}">
    <text>Drop down list to choose between the two teams. Can delete to restart.
Can also just type it in</text>
  </threadedComment>
  <threadedComment ref="F3" dT="2019-12-18T03:21:42.17" personId="{02040B60-2F89-4805-AC61-647060EF0923}" id="{78EF944F-0BF6-49D9-882D-FC661930CD62}">
    <text>Drop down list with all confidence points.
Can also type number.
Number is removed from list and 'confidence remaining' column after being used.
Red if number used more than once</text>
  </threadedComment>
</ThreadedComments>
</file>

<file path=xl/threadedComments/threadedComment2.xml><?xml version="1.0" encoding="utf-8"?>
<ThreadedComments xmlns="http://schemas.microsoft.com/office/spreadsheetml/2018/threadedcomments" xmlns:x="http://schemas.openxmlformats.org/spreadsheetml/2006/main">
  <threadedComment ref="E3" dT="2019-12-18T03:20:57.20" personId="{02040B60-2F89-4805-AC61-647060EF0923}" id="{E024ED2D-F081-438B-97EF-B11E202BB578}">
    <text>Drop down list to choose between the two teams. Can delete to restart.
Can also just type it in</text>
  </threadedComment>
  <threadedComment ref="F3" dT="2019-12-18T03:21:42.17" personId="{02040B60-2F89-4805-AC61-647060EF0923}" id="{D2AF6C8D-CBF7-4F9C-B4FF-A5695CB25BAD}">
    <text>Drop down list with all confidence points.
Can also type number.
Number is removed from list and 'confidence remaining' column after being used.
Red if number used more than once</text>
  </threadedComment>
</ThreadedComments>
</file>

<file path=xl/threadedComments/threadedComment3.xml><?xml version="1.0" encoding="utf-8"?>
<ThreadedComments xmlns="http://schemas.microsoft.com/office/spreadsheetml/2018/threadedcomments" xmlns:x="http://schemas.openxmlformats.org/spreadsheetml/2006/main">
  <threadedComment ref="E3" dT="2019-12-18T03:20:57.20" personId="{02040B60-2F89-4805-AC61-647060EF0923}" id="{C9282057-23EF-4F19-B87D-2FC6148A8F97}">
    <text>Drop down list to choose between the two teams. Can delete to restart.
Can also just type it in</text>
  </threadedComment>
  <threadedComment ref="F3" dT="2019-12-18T03:21:42.17" personId="{02040B60-2F89-4805-AC61-647060EF0923}" id="{A3A2E6B9-6D73-4BC0-BAD9-2A56A726B3D3}">
    <text>Drop down list with all confidence points.
Can also type number.
Number is removed from list and 'confidence remaining' column after being used.
Red if number used more than once</text>
  </threadedComment>
</ThreadedComments>
</file>

<file path=xl/threadedComments/threadedComment4.xml><?xml version="1.0" encoding="utf-8"?>
<ThreadedComments xmlns="http://schemas.microsoft.com/office/spreadsheetml/2018/threadedcomments" xmlns:x="http://schemas.openxmlformats.org/spreadsheetml/2006/main">
  <threadedComment ref="E3" dT="2019-12-18T03:20:57.20" personId="{02040B60-2F89-4805-AC61-647060EF0923}" id="{8923CC82-B723-470F-83C3-3B726BBA8FAC}">
    <text>Drop down list to choose between the two teams. Can delete to restart.
Can also just type it in</text>
  </threadedComment>
  <threadedComment ref="F3" dT="2019-12-18T03:21:42.17" personId="{02040B60-2F89-4805-AC61-647060EF0923}" id="{E6428302-32E3-46B6-AE59-C5CE802958FD}">
    <text>Drop down list with all confidence points.
Can also type number.
Number is removed from list and 'confidence remaining' column after being used.
Red if number used more than once</text>
  </threadedComment>
</ThreadedComments>
</file>

<file path=xl/threadedComments/threadedComment5.xml><?xml version="1.0" encoding="utf-8"?>
<ThreadedComments xmlns="http://schemas.microsoft.com/office/spreadsheetml/2018/threadedcomments" xmlns:x="http://schemas.openxmlformats.org/spreadsheetml/2006/main">
  <threadedComment ref="E3" dT="2019-12-18T03:20:57.20" personId="{02040B60-2F89-4805-AC61-647060EF0923}" id="{63BB4FBB-3F86-4440-BD63-DE5260A51F0A}">
    <text>Drop down list to choose between the two teams. Can delete to restart.
Can also just type it in</text>
  </threadedComment>
  <threadedComment ref="F3" dT="2019-12-18T03:21:42.17" personId="{02040B60-2F89-4805-AC61-647060EF0923}" id="{924B0A10-9FD5-472F-B62A-FAD0BE9B2272}">
    <text>Drop down list with all confidence points.
Can also type number.
Number is removed from list and 'confidence remaining' column after being used.
Red if number used more than once</text>
  </threadedComment>
</ThreadedComments>
</file>

<file path=xl/threadedComments/threadedComment6.xml><?xml version="1.0" encoding="utf-8"?>
<ThreadedComments xmlns="http://schemas.microsoft.com/office/spreadsheetml/2018/threadedcomments" xmlns:x="http://schemas.openxmlformats.org/spreadsheetml/2006/main">
  <threadedComment ref="E3" dT="2019-12-18T03:20:57.20" personId="{02040B60-2F89-4805-AC61-647060EF0923}" id="{F6D4CA83-19F2-4FE2-B9B2-644B8E4CD30A}">
    <text>Drop down list to choose between the two teams. Can delete to restart.
Can also just type it in</text>
  </threadedComment>
  <threadedComment ref="F3" dT="2019-12-18T03:21:42.17" personId="{02040B60-2F89-4805-AC61-647060EF0923}" id="{B6046D77-1FFF-44D4-8F5B-9AE635D6350A}">
    <text>Drop down list with all confidence points.
Can also type number.
Number is removed from list and 'confidence remaining' column after being used.
Red if number used more than once</text>
  </threadedComment>
</ThreadedComments>
</file>

<file path=xl/threadedComments/threadedComment7.xml><?xml version="1.0" encoding="utf-8"?>
<ThreadedComments xmlns="http://schemas.microsoft.com/office/spreadsheetml/2018/threadedcomments" xmlns:x="http://schemas.openxmlformats.org/spreadsheetml/2006/main">
  <threadedComment ref="E3" dT="2019-12-18T03:20:57.20" personId="{02040B60-2F89-4805-AC61-647060EF0923}" id="{07228286-EC41-49AE-9375-AFDB7B44FA1F}">
    <text>Drop down list to choose between the two teams. Can delete to restart.
Can also just type it in</text>
  </threadedComment>
  <threadedComment ref="F3" dT="2019-12-18T03:21:42.17" personId="{02040B60-2F89-4805-AC61-647060EF0923}" id="{1DF5C6EB-61CC-4A95-9A1B-BA40BCF57867}">
    <text>Drop down list with all confidence points.
Can also type number.
Number is removed from list and 'confidence remaining' column after being used.
Red if number used more than once</text>
  </threadedComment>
</ThreadedComments>
</file>

<file path=xl/threadedComments/threadedComment8.xml><?xml version="1.0" encoding="utf-8"?>
<ThreadedComments xmlns="http://schemas.microsoft.com/office/spreadsheetml/2018/threadedcomments" xmlns:x="http://schemas.openxmlformats.org/spreadsheetml/2006/main">
  <threadedComment ref="E3" dT="2019-12-18T03:20:57.20" personId="{02040B60-2F89-4805-AC61-647060EF0923}" id="{7C4AA33F-6C47-4E88-AFDB-A3985D3EB382}">
    <text>Drop down list to choose between the two teams. Can delete to restart.
Can also just type it in</text>
  </threadedComment>
  <threadedComment ref="F3" dT="2019-12-18T03:21:42.17" personId="{02040B60-2F89-4805-AC61-647060EF0923}" id="{0F2E82A6-42E1-4694-9B50-6E8A37999963}">
    <text>Drop down list with all confidence points.
Can also type number.
Number is removed from list and 'confidence remaining' column after being used.
Red if number used more than once</text>
  </threadedComment>
</ThreadedComments>
</file>

<file path=xl/threadedComments/threadedComment9.xml><?xml version="1.0" encoding="utf-8"?>
<ThreadedComments xmlns="http://schemas.microsoft.com/office/spreadsheetml/2018/threadedcomments" xmlns:x="http://schemas.openxmlformats.org/spreadsheetml/2006/main">
  <threadedComment ref="E3" dT="2019-12-18T03:20:57.20" personId="{02040B60-2F89-4805-AC61-647060EF0923}" id="{70E377E2-19A5-41DB-AFF4-8F6F62567B76}">
    <text>Drop down list to choose between the two teams. Can delete to restart.
Can also just type it in</text>
  </threadedComment>
  <threadedComment ref="F3" dT="2019-12-18T03:21:42.17" personId="{02040B60-2F89-4805-AC61-647060EF0923}" id="{49DA87C1-0F69-4FE1-8D94-95CC08ECBE3D}">
    <text>Drop down list with all confidence points.
Can also type number.
Number is removed from list and 'confidence remaining' column after being used.
Red if number used more than once</text>
  </threadedComment>
</ThreadedComments>
</file>

<file path=xl/threadedComments/threadedComment10.xml><?xml version="1.0" encoding="utf-8"?>
<ThreadedComments xmlns="http://schemas.microsoft.com/office/spreadsheetml/2018/threadedcomments" xmlns:x="http://schemas.openxmlformats.org/spreadsheetml/2006/main">
  <threadedComment ref="E3" dT="2019-12-18T03:20:57.20" personId="{02040B60-2F89-4805-AC61-647060EF0923}" id="{8F88FB2E-DF79-400E-A0C3-5A756EA3AA4B}">
    <text>Drop down list to choose between the two teams. Can delete to restart.
Can also just type it in</text>
  </threadedComment>
  <threadedComment ref="F3" dT="2019-12-18T03:21:42.17" personId="{02040B60-2F89-4805-AC61-647060EF0923}" id="{A25902DB-41DE-4BC4-AFB1-68753FF01635}">
    <text>Drop down list with all confidence points.
Can also type number.
Number is removed from list and 'confidence remaining' column after being used.
Red if number used more than once</text>
  </threadedComment>
</ThreadedComments>
</file>

<file path=xl/threadedComments/threadedComment11.xml><?xml version="1.0" encoding="utf-8"?>
<ThreadedComments xmlns="http://schemas.microsoft.com/office/spreadsheetml/2018/threadedcomments" xmlns:x="http://schemas.openxmlformats.org/spreadsheetml/2006/main">
  <threadedComment ref="E3" dT="2019-12-18T03:20:57.20" personId="{02040B60-2F89-4805-AC61-647060EF0923}" id="{04D3ED10-A076-49B6-9B57-2D699715001D}">
    <text>Drop down list to choose between the two teams. Can delete to restart.
Can also just type it in</text>
  </threadedComment>
  <threadedComment ref="F3" dT="2019-12-18T03:21:42.17" personId="{02040B60-2F89-4805-AC61-647060EF0923}" id="{7923BF9D-6A85-4435-8BD7-FA85B8542CE4}">
    <text>Drop down list with all confidence points.
Can also type number.
Number is removed from list and 'confidence remaining' column after being used.
Red if number used more than once</text>
  </threadedComment>
</ThreadedComments>
</file>

<file path=xl/threadedComments/threadedComment12.xml><?xml version="1.0" encoding="utf-8"?>
<ThreadedComments xmlns="http://schemas.microsoft.com/office/spreadsheetml/2018/threadedcomments" xmlns:x="http://schemas.openxmlformats.org/spreadsheetml/2006/main">
  <threadedComment ref="E3" dT="2019-12-18T03:20:57.20" personId="{02040B60-2F89-4805-AC61-647060EF0923}" id="{F0B97F13-9095-452E-822A-0844C841248D}">
    <text>Drop down list to choose between the two teams. Can delete to restart.
Can also just type it in</text>
  </threadedComment>
  <threadedComment ref="F3" dT="2019-12-18T03:21:42.17" personId="{02040B60-2F89-4805-AC61-647060EF0923}" id="{647ED6F8-77C8-4369-817B-0EC57BAFBB63}">
    <text>Drop down list with all confidence points.
Can also type number.
Number is removed from list and 'confidence remaining' column after being used.
Red if number used more than once</text>
  </threadedComment>
</ThreadedComments>
</file>

<file path=xl/threadedComments/threadedComment13.xml><?xml version="1.0" encoding="utf-8"?>
<ThreadedComments xmlns="http://schemas.microsoft.com/office/spreadsheetml/2018/threadedcomments" xmlns:x="http://schemas.openxmlformats.org/spreadsheetml/2006/main">
  <threadedComment ref="E3" dT="2019-12-18T03:20:57.20" personId="{02040B60-2F89-4805-AC61-647060EF0923}" id="{48A913BD-9C79-4053-B3BD-E18EF96604EF}">
    <text>Drop down list to choose between the two teams. Can delete to restart.
Can also just type it in</text>
  </threadedComment>
  <threadedComment ref="F3" dT="2019-12-18T03:21:42.17" personId="{02040B60-2F89-4805-AC61-647060EF0923}" id="{113755BC-35AE-4199-AD4F-57B7E5129659}">
    <text>Drop down list with all confidence points.
Can also type number.
Number is removed from list and 'confidence remaining' column after being used.
Red if number used more than once</text>
  </threadedComment>
</ThreadedComments>
</file>

<file path=xl/threadedComments/threadedComment14.xml><?xml version="1.0" encoding="utf-8"?>
<ThreadedComments xmlns="http://schemas.microsoft.com/office/spreadsheetml/2018/threadedcomments" xmlns:x="http://schemas.openxmlformats.org/spreadsheetml/2006/main">
  <threadedComment ref="E3" dT="2019-12-18T03:20:57.20" personId="{02040B60-2F89-4805-AC61-647060EF0923}" id="{A1534F0A-42CE-4CBE-9C8B-6A137CB8EE99}">
    <text>Drop down list to choose between the two teams. Can delete to restart.
Can also just type it in</text>
  </threadedComment>
  <threadedComment ref="F3" dT="2019-12-18T03:21:42.17" personId="{02040B60-2F89-4805-AC61-647060EF0923}" id="{CCEC080F-07B8-4497-9266-887621912CB2}">
    <text>Drop down list with all confidence points.
Can also type number.
Number is removed from list and 'confidence remaining' column after being used.
Red if number used more than once</text>
  </threadedComment>
</ThreadedComments>
</file>

<file path=xl/threadedComments/threadedComment15.xml><?xml version="1.0" encoding="utf-8"?>
<ThreadedComments xmlns="http://schemas.microsoft.com/office/spreadsheetml/2018/threadedcomments" xmlns:x="http://schemas.openxmlformats.org/spreadsheetml/2006/main">
  <threadedComment ref="E3" dT="2019-12-18T03:20:57.20" personId="{02040B60-2F89-4805-AC61-647060EF0923}" id="{2D7D03E6-F5F2-48C9-A3F4-87B8A91C6B0D}">
    <text>Drop down list to choose between the two teams. Can delete to restart.
Can also just type it in</text>
  </threadedComment>
  <threadedComment ref="F3" dT="2019-12-18T03:21:42.17" personId="{02040B60-2F89-4805-AC61-647060EF0923}" id="{2265A920-1F86-449F-9621-834ED18281AB}">
    <text>Drop down list with all confidence points.
Can also type number.
Number is removed from list and 'confidence remaining' column after being used.
Red if number used more than once</text>
  </threadedComment>
</ThreadedComments>
</file>

<file path=xl/threadedComments/threadedComment16.xml><?xml version="1.0" encoding="utf-8"?>
<ThreadedComments xmlns="http://schemas.microsoft.com/office/spreadsheetml/2018/threadedcomments" xmlns:x="http://schemas.openxmlformats.org/spreadsheetml/2006/main">
  <threadedComment ref="E3" dT="2019-12-18T03:20:57.20" personId="{02040B60-2F89-4805-AC61-647060EF0923}" id="{73EE2042-55B8-4808-97E4-441C9EDF147E}">
    <text>Drop down list to choose between the two teams. Can delete to restart.
Can also just type it in</text>
  </threadedComment>
  <threadedComment ref="F3" dT="2019-12-18T03:21:42.17" personId="{02040B60-2F89-4805-AC61-647060EF0923}" id="{544C3FAC-22DE-4B0C-BA59-57E32FB791A2}">
    <text>Drop down list with all confidence points.
Can also type number.
Number is removed from list and 'confidence remaining' column after being used.
Red if number used more than once</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5.xml"/><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6.xml"/><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A45EB-1704-4253-AE49-1B855985B649}">
  <dimension ref="A1:T11"/>
  <sheetViews>
    <sheetView tabSelected="1" zoomScale="87" zoomScaleNormal="87" workbookViewId="0">
      <selection activeCell="K6" sqref="K6"/>
    </sheetView>
  </sheetViews>
  <sheetFormatPr defaultRowHeight="14.5" x14ac:dyDescent="0.35"/>
  <sheetData>
    <row r="1" spans="1:20" ht="72" customHeight="1" x14ac:dyDescent="0.35">
      <c r="A1" s="112" t="s">
        <v>172</v>
      </c>
      <c r="B1" s="113"/>
      <c r="C1" s="113"/>
      <c r="D1" s="113"/>
      <c r="E1" s="113"/>
      <c r="F1" s="113"/>
      <c r="G1" s="113"/>
      <c r="H1" s="113"/>
      <c r="I1" s="113"/>
      <c r="J1" s="113"/>
      <c r="K1" s="113"/>
      <c r="L1" s="113"/>
      <c r="M1" s="113"/>
      <c r="N1" s="113"/>
      <c r="O1" s="113"/>
      <c r="P1" s="113"/>
      <c r="Q1" s="113"/>
      <c r="R1" s="113"/>
      <c r="S1" s="113"/>
      <c r="T1" s="114"/>
    </row>
    <row r="2" spans="1:20" ht="5" customHeight="1" x14ac:dyDescent="0.35">
      <c r="A2" s="121"/>
      <c r="B2" s="122"/>
      <c r="C2" s="122"/>
      <c r="D2" s="122"/>
      <c r="E2" s="122"/>
      <c r="F2" s="122"/>
      <c r="G2" s="122"/>
      <c r="H2" s="122"/>
      <c r="I2" s="122"/>
      <c r="J2" s="122"/>
      <c r="K2" s="122"/>
      <c r="L2" s="122"/>
      <c r="M2" s="122"/>
      <c r="N2" s="122"/>
      <c r="O2" s="122"/>
      <c r="P2" s="122"/>
      <c r="Q2" s="122"/>
      <c r="R2" s="122"/>
      <c r="S2" s="122"/>
      <c r="T2" s="123"/>
    </row>
    <row r="3" spans="1:20" ht="72" customHeight="1" x14ac:dyDescent="0.35">
      <c r="A3" s="115" t="s">
        <v>173</v>
      </c>
      <c r="B3" s="116"/>
      <c r="C3" s="116"/>
      <c r="D3" s="116"/>
      <c r="E3" s="116"/>
      <c r="F3" s="116"/>
      <c r="G3" s="116"/>
      <c r="H3" s="116"/>
      <c r="I3" s="116"/>
      <c r="J3" s="116"/>
      <c r="K3" s="116"/>
      <c r="L3" s="116"/>
      <c r="M3" s="116"/>
      <c r="N3" s="116"/>
      <c r="O3" s="116"/>
      <c r="P3" s="116"/>
      <c r="Q3" s="116"/>
      <c r="R3" s="116"/>
      <c r="S3" s="116"/>
      <c r="T3" s="117"/>
    </row>
    <row r="4" spans="1:20" ht="5" customHeight="1" x14ac:dyDescent="0.35">
      <c r="A4" s="121"/>
      <c r="B4" s="122"/>
      <c r="C4" s="122"/>
      <c r="D4" s="122"/>
      <c r="E4" s="122"/>
      <c r="F4" s="122"/>
      <c r="G4" s="122"/>
      <c r="H4" s="122"/>
      <c r="I4" s="122"/>
      <c r="J4" s="122"/>
      <c r="K4" s="122"/>
      <c r="L4" s="122"/>
      <c r="M4" s="122"/>
      <c r="N4" s="122"/>
      <c r="O4" s="122"/>
      <c r="P4" s="122"/>
      <c r="Q4" s="122"/>
      <c r="R4" s="122"/>
      <c r="S4" s="122"/>
      <c r="T4" s="123"/>
    </row>
    <row r="5" spans="1:20" ht="43.5" customHeight="1" x14ac:dyDescent="0.35">
      <c r="A5" s="115" t="s">
        <v>174</v>
      </c>
      <c r="B5" s="116"/>
      <c r="C5" s="116"/>
      <c r="D5" s="116"/>
      <c r="E5" s="116"/>
      <c r="F5" s="116"/>
      <c r="G5" s="116"/>
      <c r="H5" s="116"/>
      <c r="I5" s="116"/>
      <c r="J5" s="116"/>
      <c r="K5" s="116"/>
      <c r="L5" s="116"/>
      <c r="M5" s="116"/>
      <c r="N5" s="116"/>
      <c r="O5" s="116"/>
      <c r="P5" s="116"/>
      <c r="Q5" s="116"/>
      <c r="R5" s="116"/>
      <c r="S5" s="116"/>
      <c r="T5" s="117"/>
    </row>
    <row r="6" spans="1:20" ht="5" customHeight="1" x14ac:dyDescent="0.35">
      <c r="A6" s="121"/>
      <c r="B6" s="122"/>
      <c r="C6" s="122"/>
      <c r="D6" s="122"/>
      <c r="E6" s="122"/>
      <c r="F6" s="122"/>
      <c r="G6" s="122"/>
      <c r="H6" s="122"/>
      <c r="I6" s="122"/>
      <c r="J6" s="122"/>
      <c r="K6" s="122"/>
      <c r="L6" s="122"/>
      <c r="M6" s="122"/>
      <c r="N6" s="122"/>
      <c r="O6" s="122"/>
      <c r="P6" s="122"/>
      <c r="Q6" s="122"/>
      <c r="R6" s="122"/>
      <c r="S6" s="122"/>
      <c r="T6" s="123"/>
    </row>
    <row r="7" spans="1:20" ht="58" customHeight="1" x14ac:dyDescent="0.35">
      <c r="A7" s="115" t="s">
        <v>175</v>
      </c>
      <c r="B7" s="116"/>
      <c r="C7" s="116"/>
      <c r="D7" s="116"/>
      <c r="E7" s="116"/>
      <c r="F7" s="116"/>
      <c r="G7" s="116"/>
      <c r="H7" s="116"/>
      <c r="I7" s="116"/>
      <c r="J7" s="116"/>
      <c r="K7" s="116"/>
      <c r="L7" s="116"/>
      <c r="M7" s="116"/>
      <c r="N7" s="116"/>
      <c r="O7" s="116"/>
      <c r="P7" s="116"/>
      <c r="Q7" s="116"/>
      <c r="R7" s="116"/>
      <c r="S7" s="116"/>
      <c r="T7" s="117"/>
    </row>
    <row r="8" spans="1:20" ht="5" customHeight="1" x14ac:dyDescent="0.35">
      <c r="A8" s="121"/>
      <c r="B8" s="122"/>
      <c r="C8" s="122"/>
      <c r="D8" s="122"/>
      <c r="E8" s="122"/>
      <c r="F8" s="122"/>
      <c r="G8" s="122"/>
      <c r="H8" s="122"/>
      <c r="I8" s="122"/>
      <c r="J8" s="122"/>
      <c r="K8" s="122"/>
      <c r="L8" s="122"/>
      <c r="M8" s="122"/>
      <c r="N8" s="122"/>
      <c r="O8" s="122"/>
      <c r="P8" s="122"/>
      <c r="Q8" s="122"/>
      <c r="R8" s="122"/>
      <c r="S8" s="122"/>
      <c r="T8" s="123"/>
    </row>
    <row r="9" spans="1:20" ht="72.5" customHeight="1" x14ac:dyDescent="0.35">
      <c r="A9" s="115" t="s">
        <v>176</v>
      </c>
      <c r="B9" s="116"/>
      <c r="C9" s="116"/>
      <c r="D9" s="116"/>
      <c r="E9" s="116"/>
      <c r="F9" s="116"/>
      <c r="G9" s="116"/>
      <c r="H9" s="116"/>
      <c r="I9" s="116"/>
      <c r="J9" s="116"/>
      <c r="K9" s="116"/>
      <c r="L9" s="116"/>
      <c r="M9" s="116"/>
      <c r="N9" s="116"/>
      <c r="O9" s="116"/>
      <c r="P9" s="116"/>
      <c r="Q9" s="116"/>
      <c r="R9" s="116"/>
      <c r="S9" s="116"/>
      <c r="T9" s="117"/>
    </row>
    <row r="10" spans="1:20" ht="5" customHeight="1" x14ac:dyDescent="0.35">
      <c r="A10" s="121"/>
      <c r="B10" s="122"/>
      <c r="C10" s="122"/>
      <c r="D10" s="122"/>
      <c r="E10" s="122"/>
      <c r="F10" s="122"/>
      <c r="G10" s="122"/>
      <c r="H10" s="122"/>
      <c r="I10" s="122"/>
      <c r="J10" s="122"/>
      <c r="K10" s="122"/>
      <c r="L10" s="122"/>
      <c r="M10" s="122"/>
      <c r="N10" s="122"/>
      <c r="O10" s="122"/>
      <c r="P10" s="122"/>
      <c r="Q10" s="122"/>
      <c r="R10" s="122"/>
      <c r="S10" s="122"/>
      <c r="T10" s="123"/>
    </row>
    <row r="11" spans="1:20" ht="43.5" customHeight="1" x14ac:dyDescent="0.35">
      <c r="A11" s="118" t="s">
        <v>177</v>
      </c>
      <c r="B11" s="119"/>
      <c r="C11" s="119"/>
      <c r="D11" s="119"/>
      <c r="E11" s="119"/>
      <c r="F11" s="119"/>
      <c r="G11" s="119"/>
      <c r="H11" s="119"/>
      <c r="I11" s="119"/>
      <c r="J11" s="119"/>
      <c r="K11" s="119"/>
      <c r="L11" s="119"/>
      <c r="M11" s="119"/>
      <c r="N11" s="119"/>
      <c r="O11" s="119"/>
      <c r="P11" s="119"/>
      <c r="Q11" s="119"/>
      <c r="R11" s="119"/>
      <c r="S11" s="119"/>
      <c r="T11" s="120"/>
    </row>
  </sheetData>
  <mergeCells count="6">
    <mergeCell ref="A9:T9"/>
    <mergeCell ref="A11:T11"/>
    <mergeCell ref="A1:T1"/>
    <mergeCell ref="A3:T3"/>
    <mergeCell ref="A5:T5"/>
    <mergeCell ref="A7:T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9DA0F-C41B-4405-894C-27BC34B1D11B}">
  <sheetPr codeName="Sheet2"/>
  <dimension ref="A1:S44"/>
  <sheetViews>
    <sheetView workbookViewId="0">
      <selection activeCell="K1" sqref="K1:S1048576"/>
    </sheetView>
  </sheetViews>
  <sheetFormatPr defaultRowHeight="14.5" x14ac:dyDescent="0.35"/>
  <cols>
    <col min="1" max="1" width="9.1796875" customWidth="1"/>
    <col min="2" max="6" width="19.1796875" customWidth="1"/>
    <col min="7" max="7" width="19.1796875" style="26" customWidth="1"/>
    <col min="8" max="15" width="8.7265625" hidden="1" customWidth="1"/>
    <col min="16" max="19" width="0" hidden="1" customWidth="1"/>
  </cols>
  <sheetData>
    <row r="1" spans="1:19" x14ac:dyDescent="0.35">
      <c r="A1" s="105" t="s">
        <v>0</v>
      </c>
      <c r="B1" s="105" t="str">
        <f>IF(ISBLANK([1]Instructions!G3),"",[1]Instructions!G3)</f>
        <v/>
      </c>
      <c r="F1" s="107" t="s">
        <v>1</v>
      </c>
      <c r="G1" s="105" t="str">
        <f>IF(ISBLANK([1]Instructions!G4),"",[1]Instructions!G4)</f>
        <v/>
      </c>
      <c r="H1">
        <v>1</v>
      </c>
      <c r="I1" s="1">
        <f t="shared" ref="I1:I40" si="0">IF(COUNTIF($F$4:$F$43,H1)&gt;=1,"",ROW())</f>
        <v>1</v>
      </c>
      <c r="J1" s="1" cm="1">
        <f t="array" ref="J1">IF(ROW(G4)-ROW(G$4)+1&gt;COUNT(I$1:I$40),"",INDEX(H:H,SMALL(I$1:I$40,1+ROW(G4)-ROW(G$4))))</f>
        <v>1</v>
      </c>
    </row>
    <row r="2" spans="1:19" ht="15" thickBot="1" x14ac:dyDescent="0.4">
      <c r="A2" s="106"/>
      <c r="B2" s="106"/>
      <c r="F2" s="108"/>
      <c r="G2" s="106"/>
      <c r="H2">
        <v>2</v>
      </c>
      <c r="I2" s="1">
        <f t="shared" si="0"/>
        <v>2</v>
      </c>
      <c r="J2" s="1" cm="1">
        <f t="array" ref="J2">IF(ROW(G5)-ROW(G$4)+1&gt;COUNT(I$1:I$40),"",INDEX(H:H,SMALL(I$1:I$40,1+ROW(G5)-ROW(G$4))))</f>
        <v>2</v>
      </c>
    </row>
    <row r="3" spans="1:19" ht="18" customHeight="1" thickBot="1" x14ac:dyDescent="0.4">
      <c r="A3" s="2" t="s">
        <v>2</v>
      </c>
      <c r="B3" s="2" t="s">
        <v>3</v>
      </c>
      <c r="C3" s="109" t="s">
        <v>4</v>
      </c>
      <c r="D3" s="109"/>
      <c r="E3" s="2" t="s">
        <v>5</v>
      </c>
      <c r="F3" s="2" t="s">
        <v>6</v>
      </c>
      <c r="G3" s="2" t="s">
        <v>7</v>
      </c>
      <c r="H3">
        <v>3</v>
      </c>
      <c r="I3" s="1">
        <f t="shared" si="0"/>
        <v>3</v>
      </c>
      <c r="J3" s="1" cm="1">
        <f t="array" ref="J3">IF(ROW(G6)-ROW(G$4)+1&gt;COUNT(I$1:I$40),"",INDEX(H:H,SMALL(I$1:I$40,1+ROW(G6)-ROW(G$4))))</f>
        <v>3</v>
      </c>
    </row>
    <row r="4" spans="1:19" ht="18" customHeight="1" thickTop="1" x14ac:dyDescent="0.4">
      <c r="A4" s="4">
        <v>43819</v>
      </c>
      <c r="B4" s="5" t="s">
        <v>8</v>
      </c>
      <c r="C4" s="6" t="s">
        <v>9</v>
      </c>
      <c r="D4" s="7" t="s">
        <v>10</v>
      </c>
      <c r="E4" s="8"/>
      <c r="F4" s="9"/>
      <c r="G4" s="10" cm="1">
        <f t="array" ref="G4">IF(ROW(G4)-ROW(G$4)+1&gt;COUNT(I$1:I$40),"",INDEX(H:H,SMALL(I$1:I$40,1+ROW(G4)-ROW(G$4))))</f>
        <v>1</v>
      </c>
      <c r="H4">
        <v>4</v>
      </c>
      <c r="I4" s="1">
        <f t="shared" si="0"/>
        <v>4</v>
      </c>
      <c r="J4" s="1" cm="1">
        <f t="array" ref="J4">IF(ROW(G7)-ROW(G$4)+1&gt;COUNT(I$1:I$40),"",INDEX(H:H,SMALL(I$1:I$40,1+ROW(G7)-ROW(G$4))))</f>
        <v>4</v>
      </c>
      <c r="N4" s="11"/>
    </row>
    <row r="5" spans="1:19" ht="18" customHeight="1" x14ac:dyDescent="0.4">
      <c r="A5" s="4">
        <v>43819</v>
      </c>
      <c r="B5" s="5" t="s">
        <v>11</v>
      </c>
      <c r="C5" s="12" t="s">
        <v>12</v>
      </c>
      <c r="D5" s="13" t="s">
        <v>13</v>
      </c>
      <c r="E5" s="8"/>
      <c r="F5" s="9"/>
      <c r="G5" s="10" cm="1">
        <f t="array" ref="G5">IF(ROW(G5)-ROW(G$4)+1&gt;COUNT(I$1:I$40),"",INDEX(H:H,SMALL(I$1:I$40,1+ROW(G5)-ROW(G$4))))</f>
        <v>2</v>
      </c>
      <c r="H5">
        <v>5</v>
      </c>
      <c r="I5" s="1">
        <f t="shared" si="0"/>
        <v>5</v>
      </c>
      <c r="J5" s="1" cm="1">
        <f t="array" ref="J5">IF(ROW(G8)-ROW(G$4)+1&gt;COUNT(I$1:I$40),"",INDEX(H:H,SMALL(I$1:I$40,1+ROW(G8)-ROW(G$4))))</f>
        <v>5</v>
      </c>
    </row>
    <row r="6" spans="1:19" ht="18" customHeight="1" x14ac:dyDescent="0.4">
      <c r="A6" s="4">
        <v>43820</v>
      </c>
      <c r="B6" s="5" t="s">
        <v>14</v>
      </c>
      <c r="C6" s="12" t="s">
        <v>15</v>
      </c>
      <c r="D6" s="13" t="s">
        <v>16</v>
      </c>
      <c r="E6" s="8"/>
      <c r="F6" s="9"/>
      <c r="G6" s="10" cm="1">
        <f t="array" ref="G6">IF(ROW(G6)-ROW(G$4)+1&gt;COUNT(I$1:I$40),"",INDEX(H:H,SMALL(I$1:I$40,1+ROW(G6)-ROW(G$4))))</f>
        <v>3</v>
      </c>
      <c r="H6">
        <v>6</v>
      </c>
      <c r="I6" s="1">
        <f t="shared" si="0"/>
        <v>6</v>
      </c>
      <c r="J6" s="1" cm="1">
        <f t="array" ref="J6">IF(ROW(G9)-ROW(G$4)+1&gt;COUNT(I$1:I$40),"",INDEX(H:H,SMALL(I$1:I$40,1+ROW(G9)-ROW(G$4))))</f>
        <v>6</v>
      </c>
      <c r="N6" t="e" cm="1">
        <f t="array" aca="1" ref="N6" ca="1">OFFSET([1]Games!$J$1,0,0,COUNTA([1]Games!$J$1:$J$41)-COUNTBLANK([1]Games!$J$1:$J$41),1)</f>
        <v>#VALUE!</v>
      </c>
    </row>
    <row r="7" spans="1:19" ht="18" customHeight="1" x14ac:dyDescent="0.4">
      <c r="A7" s="4">
        <v>43820</v>
      </c>
      <c r="B7" s="5" t="s">
        <v>17</v>
      </c>
      <c r="C7" s="12" t="s">
        <v>18</v>
      </c>
      <c r="D7" s="13" t="s">
        <v>19</v>
      </c>
      <c r="E7" s="8"/>
      <c r="F7" s="9"/>
      <c r="G7" s="10" cm="1">
        <f t="array" ref="G7">IF(ROW(G7)-ROW(G$4)+1&gt;COUNT(I$1:I$40),"",INDEX(H:H,SMALL(I$1:I$40,1+ROW(G7)-ROW(G$4))))</f>
        <v>4</v>
      </c>
      <c r="H7">
        <v>7</v>
      </c>
      <c r="I7" s="1">
        <f t="shared" si="0"/>
        <v>7</v>
      </c>
      <c r="J7" s="1" cm="1">
        <f t="array" ref="J7">IF(ROW(G10)-ROW(G$4)+1&gt;COUNT(I$1:I$40),"",INDEX(H:H,SMALL(I$1:I$40,1+ROW(G10)-ROW(G$4))))</f>
        <v>7</v>
      </c>
      <c r="R7" s="103"/>
      <c r="S7" s="103"/>
    </row>
    <row r="8" spans="1:19" ht="18" customHeight="1" x14ac:dyDescent="0.4">
      <c r="A8" s="4">
        <v>43820</v>
      </c>
      <c r="B8" s="5" t="s">
        <v>20</v>
      </c>
      <c r="C8" s="12" t="s">
        <v>21</v>
      </c>
      <c r="D8" s="13" t="s">
        <v>22</v>
      </c>
      <c r="E8" s="8"/>
      <c r="F8" s="9"/>
      <c r="G8" s="10" cm="1">
        <f t="array" ref="G8">IF(ROW(G8)-ROW(G$4)+1&gt;COUNT(I$1:I$40),"",INDEX(H:H,SMALL(I$1:I$40,1+ROW(G8)-ROW(G$4))))</f>
        <v>5</v>
      </c>
      <c r="H8">
        <v>8</v>
      </c>
      <c r="I8" s="1">
        <f t="shared" si="0"/>
        <v>8</v>
      </c>
      <c r="J8" s="1" cm="1">
        <f t="array" ref="J8">IF(ROW(G11)-ROW(G$4)+1&gt;COUNT(I$1:I$40),"",INDEX(H:H,SMALL(I$1:I$40,1+ROW(G11)-ROW(G$4))))</f>
        <v>8</v>
      </c>
      <c r="R8" s="103"/>
      <c r="S8" s="103"/>
    </row>
    <row r="9" spans="1:19" ht="18" customHeight="1" x14ac:dyDescent="0.4">
      <c r="A9" s="4">
        <v>43820</v>
      </c>
      <c r="B9" s="5" t="s">
        <v>23</v>
      </c>
      <c r="C9" s="12" t="s">
        <v>24</v>
      </c>
      <c r="D9" s="13" t="s">
        <v>25</v>
      </c>
      <c r="E9" s="8"/>
      <c r="F9" s="9"/>
      <c r="G9" s="10" cm="1">
        <f t="array" ref="G9">IF(ROW(G9)-ROW(G$4)+1&gt;COUNT(I$1:I$40),"",INDEX(H:H,SMALL(I$1:I$40,1+ROW(G9)-ROW(G$4))))</f>
        <v>6</v>
      </c>
      <c r="H9">
        <v>9</v>
      </c>
      <c r="I9" s="1">
        <f t="shared" si="0"/>
        <v>9</v>
      </c>
      <c r="J9" s="1" cm="1">
        <f t="array" ref="J9">IF(ROW(G12)-ROW(G$4)+1&gt;COUNT(I$1:I$40),"",INDEX(H:H,SMALL(I$1:I$40,1+ROW(G12)-ROW(G$4))))</f>
        <v>9</v>
      </c>
    </row>
    <row r="10" spans="1:19" ht="18" customHeight="1" x14ac:dyDescent="0.4">
      <c r="A10" s="4">
        <v>43820</v>
      </c>
      <c r="B10" s="5" t="s">
        <v>26</v>
      </c>
      <c r="C10" s="12" t="s">
        <v>27</v>
      </c>
      <c r="D10" s="13" t="s">
        <v>28</v>
      </c>
      <c r="E10" s="8"/>
      <c r="F10" s="9"/>
      <c r="G10" s="10" cm="1">
        <f t="array" ref="G10">IF(ROW(G10)-ROW(G$4)+1&gt;COUNT(I$1:I$40),"",INDEX(H:H,SMALL(I$1:I$40,1+ROW(G10)-ROW(G$4))))</f>
        <v>7</v>
      </c>
      <c r="H10">
        <v>10</v>
      </c>
      <c r="I10" s="1">
        <f t="shared" si="0"/>
        <v>10</v>
      </c>
      <c r="J10" s="1" cm="1">
        <f t="array" ref="J10">IF(ROW(G13)-ROW(G$4)+1&gt;COUNT(I$1:I$40),"",INDEX(H:H,SMALL(I$1:I$40,1+ROW(G13)-ROW(G$4))))</f>
        <v>10</v>
      </c>
    </row>
    <row r="11" spans="1:19" ht="18" customHeight="1" x14ac:dyDescent="0.4">
      <c r="A11" s="4">
        <v>43820</v>
      </c>
      <c r="B11" s="5" t="s">
        <v>29</v>
      </c>
      <c r="C11" s="12" t="s">
        <v>30</v>
      </c>
      <c r="D11" s="13" t="s">
        <v>31</v>
      </c>
      <c r="E11" s="8"/>
      <c r="F11" s="9"/>
      <c r="G11" s="10" cm="1">
        <f t="array" ref="G11">IF(ROW(G11)-ROW(G$4)+1&gt;COUNT(I$1:I$40),"",INDEX(H:H,SMALL(I$1:I$40,1+ROW(G11)-ROW(G$4))))</f>
        <v>8</v>
      </c>
      <c r="H11">
        <v>11</v>
      </c>
      <c r="I11" s="1">
        <f t="shared" si="0"/>
        <v>11</v>
      </c>
      <c r="J11" s="1" cm="1">
        <f t="array" ref="J11">IF(ROW(G14)-ROW(G$4)+1&gt;COUNT(I$1:I$40),"",INDEX(H:H,SMALL(I$1:I$40,1+ROW(G14)-ROW(G$4))))</f>
        <v>11</v>
      </c>
    </row>
    <row r="12" spans="1:19" ht="18" customHeight="1" x14ac:dyDescent="0.4">
      <c r="A12" s="4">
        <v>43820</v>
      </c>
      <c r="B12" s="5" t="s">
        <v>32</v>
      </c>
      <c r="C12" s="12" t="s">
        <v>33</v>
      </c>
      <c r="D12" s="13" t="s">
        <v>34</v>
      </c>
      <c r="E12" s="8"/>
      <c r="F12" s="9"/>
      <c r="G12" s="10" cm="1">
        <f t="array" ref="G12">IF(ROW(G12)-ROW(G$4)+1&gt;COUNT(I$1:I$40),"",INDEX(H:H,SMALL(I$1:I$40,1+ROW(G12)-ROW(G$4))))</f>
        <v>9</v>
      </c>
      <c r="H12">
        <v>12</v>
      </c>
      <c r="I12" s="1">
        <f t="shared" si="0"/>
        <v>12</v>
      </c>
      <c r="J12" s="1" cm="1">
        <f t="array" ref="J12">IF(ROW(G15)-ROW(G$4)+1&gt;COUNT(I$1:I$40),"",INDEX(H:H,SMALL(I$1:I$40,1+ROW(G15)-ROW(G$4))))</f>
        <v>12</v>
      </c>
    </row>
    <row r="13" spans="1:19" ht="18" customHeight="1" x14ac:dyDescent="0.4">
      <c r="A13" s="4">
        <v>43822</v>
      </c>
      <c r="B13" s="5" t="s">
        <v>35</v>
      </c>
      <c r="C13" s="12" t="s">
        <v>36</v>
      </c>
      <c r="D13" s="13" t="s">
        <v>37</v>
      </c>
      <c r="E13" s="8"/>
      <c r="F13" s="9"/>
      <c r="G13" s="10" cm="1">
        <f t="array" ref="G13">IF(ROW(G13)-ROW(G$4)+1&gt;COUNT(I$1:I$40),"",INDEX(H:H,SMALL(I$1:I$40,1+ROW(G13)-ROW(G$4))))</f>
        <v>10</v>
      </c>
      <c r="H13">
        <v>13</v>
      </c>
      <c r="I13" s="1">
        <f t="shared" si="0"/>
        <v>13</v>
      </c>
      <c r="J13" s="1" cm="1">
        <f t="array" ref="J13">IF(ROW(G16)-ROW(G$4)+1&gt;COUNT(I$1:I$40),"",INDEX(H:H,SMALL(I$1:I$40,1+ROW(G16)-ROW(G$4))))</f>
        <v>13</v>
      </c>
    </row>
    <row r="14" spans="1:19" ht="18" customHeight="1" x14ac:dyDescent="0.4">
      <c r="A14" s="4">
        <v>43823</v>
      </c>
      <c r="B14" s="5" t="s">
        <v>38</v>
      </c>
      <c r="C14" s="12" t="s">
        <v>39</v>
      </c>
      <c r="D14" s="13" t="s">
        <v>40</v>
      </c>
      <c r="E14" s="8"/>
      <c r="F14" s="9"/>
      <c r="G14" s="10" cm="1">
        <f t="array" ref="G14">IF(ROW(G14)-ROW(G$4)+1&gt;COUNT(I$1:I$40),"",INDEX(H:H,SMALL(I$1:I$40,1+ROW(G14)-ROW(G$4))))</f>
        <v>11</v>
      </c>
      <c r="H14">
        <v>14</v>
      </c>
      <c r="I14" s="1">
        <f t="shared" si="0"/>
        <v>14</v>
      </c>
      <c r="J14" s="1" cm="1">
        <f t="array" ref="J14">IF(ROW(G17)-ROW(G$4)+1&gt;COUNT(I$1:I$40),"",INDEX(H:H,SMALL(I$1:I$40,1+ROW(G17)-ROW(G$4))))</f>
        <v>14</v>
      </c>
    </row>
    <row r="15" spans="1:19" ht="18" customHeight="1" x14ac:dyDescent="0.4">
      <c r="A15" s="4">
        <v>43825</v>
      </c>
      <c r="B15" s="5" t="s">
        <v>41</v>
      </c>
      <c r="C15" s="12" t="s">
        <v>42</v>
      </c>
      <c r="D15" s="13" t="s">
        <v>43</v>
      </c>
      <c r="E15" s="8"/>
      <c r="F15" s="9"/>
      <c r="G15" s="10" cm="1">
        <f t="array" ref="G15">IF(ROW(G15)-ROW(G$4)+1&gt;COUNT(I$1:I$40),"",INDEX(H:H,SMALL(I$1:I$40,1+ROW(G15)-ROW(G$4))))</f>
        <v>12</v>
      </c>
      <c r="H15">
        <v>15</v>
      </c>
      <c r="I15" s="1">
        <f t="shared" si="0"/>
        <v>15</v>
      </c>
      <c r="J15" s="1" cm="1">
        <f t="array" ref="J15">IF(ROW(G18)-ROW(G$4)+1&gt;COUNT(I$1:I$40),"",INDEX(H:H,SMALL(I$1:I$40,1+ROW(G18)-ROW(G$4))))</f>
        <v>15</v>
      </c>
    </row>
    <row r="16" spans="1:19" ht="18" customHeight="1" x14ac:dyDescent="0.4">
      <c r="A16" s="4">
        <v>43825</v>
      </c>
      <c r="B16" s="5" t="s">
        <v>44</v>
      </c>
      <c r="C16" s="12" t="s">
        <v>45</v>
      </c>
      <c r="D16" s="13" t="s">
        <v>46</v>
      </c>
      <c r="E16" s="8"/>
      <c r="F16" s="9"/>
      <c r="G16" s="10" cm="1">
        <f t="array" ref="G16">IF(ROW(G16)-ROW(G$4)+1&gt;COUNT(I$1:I$40),"",INDEX(H:H,SMALL(I$1:I$40,1+ROW(G16)-ROW(G$4))))</f>
        <v>13</v>
      </c>
      <c r="H16">
        <v>16</v>
      </c>
      <c r="I16" s="1">
        <f t="shared" si="0"/>
        <v>16</v>
      </c>
      <c r="J16" s="1" cm="1">
        <f t="array" ref="J16">IF(ROW(G19)-ROW(G$4)+1&gt;COUNT(I$1:I$40),"",INDEX(H:H,SMALL(I$1:I$40,1+ROW(G19)-ROW(G$4))))</f>
        <v>16</v>
      </c>
    </row>
    <row r="17" spans="1:10" ht="18" customHeight="1" x14ac:dyDescent="0.4">
      <c r="A17" s="4">
        <v>43826</v>
      </c>
      <c r="B17" s="5" t="s">
        <v>47</v>
      </c>
      <c r="C17" s="12" t="s">
        <v>48</v>
      </c>
      <c r="D17" s="13" t="s">
        <v>49</v>
      </c>
      <c r="E17" s="8"/>
      <c r="F17" s="9"/>
      <c r="G17" s="10" cm="1">
        <f t="array" ref="G17">IF(ROW(G17)-ROW(G$4)+1&gt;COUNT(I$1:I$40),"",INDEX(H:H,SMALL(I$1:I$40,1+ROW(G17)-ROW(G$4))))</f>
        <v>14</v>
      </c>
      <c r="H17">
        <v>17</v>
      </c>
      <c r="I17" s="1">
        <f t="shared" si="0"/>
        <v>17</v>
      </c>
      <c r="J17" s="1" cm="1">
        <f t="array" ref="J17">IF(ROW(G20)-ROW(G$4)+1&gt;COUNT(I$1:I$40),"",INDEX(H:H,SMALL(I$1:I$40,1+ROW(G20)-ROW(G$4))))</f>
        <v>17</v>
      </c>
    </row>
    <row r="18" spans="1:10" ht="18" customHeight="1" x14ac:dyDescent="0.4">
      <c r="A18" s="4">
        <v>43826</v>
      </c>
      <c r="B18" s="5" t="s">
        <v>50</v>
      </c>
      <c r="C18" s="12" t="s">
        <v>51</v>
      </c>
      <c r="D18" s="13" t="s">
        <v>52</v>
      </c>
      <c r="E18" s="8"/>
      <c r="F18" s="9"/>
      <c r="G18" s="10" cm="1">
        <f t="array" ref="G18">IF(ROW(G18)-ROW(G$4)+1&gt;COUNT(I$1:I$40),"",INDEX(H:H,SMALL(I$1:I$40,1+ROW(G18)-ROW(G$4))))</f>
        <v>15</v>
      </c>
      <c r="H18">
        <v>18</v>
      </c>
      <c r="I18" s="1">
        <f t="shared" si="0"/>
        <v>18</v>
      </c>
      <c r="J18" s="1" cm="1">
        <f t="array" ref="J18">IF(ROW(G21)-ROW(G$4)+1&gt;COUNT(I$1:I$40),"",INDEX(H:H,SMALL(I$1:I$40,1+ROW(G21)-ROW(G$4))))</f>
        <v>18</v>
      </c>
    </row>
    <row r="19" spans="1:10" ht="18" customHeight="1" x14ac:dyDescent="0.4">
      <c r="A19" s="4">
        <v>43826</v>
      </c>
      <c r="B19" s="5" t="s">
        <v>53</v>
      </c>
      <c r="C19" s="12" t="s">
        <v>54</v>
      </c>
      <c r="D19" s="13" t="s">
        <v>55</v>
      </c>
      <c r="E19" s="8"/>
      <c r="F19" s="9"/>
      <c r="G19" s="10" cm="1">
        <f t="array" ref="G19">IF(ROW(G19)-ROW(G$4)+1&gt;COUNT(I$1:I$40),"",INDEX(H:H,SMALL(I$1:I$40,1+ROW(G19)-ROW(G$4))))</f>
        <v>16</v>
      </c>
      <c r="H19">
        <v>19</v>
      </c>
      <c r="I19" s="1">
        <f t="shared" si="0"/>
        <v>19</v>
      </c>
      <c r="J19" s="1" cm="1">
        <f t="array" ref="J19">IF(ROW(G22)-ROW(G$4)+1&gt;COUNT(I$1:I$40),"",INDEX(H:H,SMALL(I$1:I$40,1+ROW(G22)-ROW(G$4))))</f>
        <v>19</v>
      </c>
    </row>
    <row r="20" spans="1:10" ht="18" customHeight="1" x14ac:dyDescent="0.4">
      <c r="A20" s="4">
        <v>43826</v>
      </c>
      <c r="B20" s="5" t="s">
        <v>56</v>
      </c>
      <c r="C20" s="12" t="s">
        <v>57</v>
      </c>
      <c r="D20" s="13" t="s">
        <v>58</v>
      </c>
      <c r="E20" s="8"/>
      <c r="F20" s="9"/>
      <c r="G20" s="10" cm="1">
        <f t="array" ref="G20">IF(ROW(G20)-ROW(G$4)+1&gt;COUNT(I$1:I$40),"",INDEX(H:H,SMALL(I$1:I$40,1+ROW(G20)-ROW(G$4))))</f>
        <v>17</v>
      </c>
      <c r="H20">
        <v>20</v>
      </c>
      <c r="I20" s="1">
        <f t="shared" si="0"/>
        <v>20</v>
      </c>
      <c r="J20" s="1" cm="1">
        <f t="array" ref="J20">IF(ROW(G23)-ROW(G$4)+1&gt;COUNT(I$1:I$40),"",INDEX(H:H,SMALL(I$1:I$40,1+ROW(G23)-ROW(G$4))))</f>
        <v>20</v>
      </c>
    </row>
    <row r="21" spans="1:10" ht="18" customHeight="1" x14ac:dyDescent="0.4">
      <c r="A21" s="4">
        <v>43826</v>
      </c>
      <c r="B21" s="5" t="s">
        <v>59</v>
      </c>
      <c r="C21" s="12" t="s">
        <v>60</v>
      </c>
      <c r="D21" s="13" t="s">
        <v>61</v>
      </c>
      <c r="E21" s="8"/>
      <c r="F21" s="9"/>
      <c r="G21" s="10" cm="1">
        <f t="array" ref="G21">IF(ROW(G21)-ROW(G$4)+1&gt;COUNT(I$1:I$40),"",INDEX(H:H,SMALL(I$1:I$40,1+ROW(G21)-ROW(G$4))))</f>
        <v>18</v>
      </c>
      <c r="H21">
        <v>21</v>
      </c>
      <c r="I21" s="1">
        <f t="shared" si="0"/>
        <v>21</v>
      </c>
      <c r="J21" s="1" cm="1">
        <f t="array" ref="J21">IF(ROW(G24)-ROW(G$4)+1&gt;COUNT(I$1:I$40),"",INDEX(H:H,SMALL(I$1:I$40,1+ROW(G24)-ROW(G$4))))</f>
        <v>21</v>
      </c>
    </row>
    <row r="22" spans="1:10" ht="18" customHeight="1" x14ac:dyDescent="0.4">
      <c r="A22" s="4">
        <v>43827</v>
      </c>
      <c r="B22" s="5" t="s">
        <v>62</v>
      </c>
      <c r="C22" s="12" t="s">
        <v>63</v>
      </c>
      <c r="D22" s="13" t="s">
        <v>64</v>
      </c>
      <c r="E22" s="8"/>
      <c r="F22" s="9"/>
      <c r="G22" s="10" cm="1">
        <f t="array" ref="G22">IF(ROW(G22)-ROW(G$4)+1&gt;COUNT(I$1:I$40),"",INDEX(H:H,SMALL(I$1:I$40,1+ROW(G22)-ROW(G$4))))</f>
        <v>19</v>
      </c>
      <c r="H22">
        <v>22</v>
      </c>
      <c r="I22" s="1">
        <f t="shared" si="0"/>
        <v>22</v>
      </c>
      <c r="J22" s="1" cm="1">
        <f t="array" ref="J22">IF(ROW(G25)-ROW(G$4)+1&gt;COUNT(I$1:I$40),"",INDEX(H:H,SMALL(I$1:I$40,1+ROW(G25)-ROW(G$4))))</f>
        <v>22</v>
      </c>
    </row>
    <row r="23" spans="1:10" ht="18" customHeight="1" x14ac:dyDescent="0.4">
      <c r="A23" s="4">
        <v>43827</v>
      </c>
      <c r="B23" s="5" t="s">
        <v>65</v>
      </c>
      <c r="C23" s="12" t="s">
        <v>66</v>
      </c>
      <c r="D23" s="13" t="s">
        <v>67</v>
      </c>
      <c r="E23" s="8"/>
      <c r="F23" s="9"/>
      <c r="G23" s="10" cm="1">
        <f t="array" ref="G23">IF(ROW(G23)-ROW(G$4)+1&gt;COUNT(I$1:I$40),"",INDEX(H:H,SMALL(I$1:I$40,1+ROW(G23)-ROW(G$4))))</f>
        <v>20</v>
      </c>
      <c r="H23">
        <v>23</v>
      </c>
      <c r="I23" s="1">
        <f t="shared" si="0"/>
        <v>23</v>
      </c>
      <c r="J23" s="1" cm="1">
        <f t="array" ref="J23">IF(ROW(G26)-ROW(G$4)+1&gt;COUNT(I$1:I$40),"",INDEX(H:H,SMALL(I$1:I$40,1+ROW(G26)-ROW(G$4))))</f>
        <v>23</v>
      </c>
    </row>
    <row r="24" spans="1:10" ht="18" customHeight="1" x14ac:dyDescent="0.4">
      <c r="A24" s="4">
        <v>43827</v>
      </c>
      <c r="B24" s="5" t="s">
        <v>68</v>
      </c>
      <c r="C24" s="12" t="s">
        <v>69</v>
      </c>
      <c r="D24" s="13" t="s">
        <v>70</v>
      </c>
      <c r="E24" s="8"/>
      <c r="F24" s="9"/>
      <c r="G24" s="10" cm="1">
        <f t="array" ref="G24">IF(ROW(G24)-ROW(G$4)+1&gt;COUNT(I$1:I$40),"",INDEX(H:H,SMALL(I$1:I$40,1+ROW(G24)-ROW(G$4))))</f>
        <v>21</v>
      </c>
      <c r="H24">
        <v>24</v>
      </c>
      <c r="I24" s="1">
        <f t="shared" si="0"/>
        <v>24</v>
      </c>
      <c r="J24" s="1" cm="1">
        <f t="array" ref="J24">IF(ROW(G27)-ROW(G$4)+1&gt;COUNT(I$1:I$40),"",INDEX(H:H,SMALL(I$1:I$40,1+ROW(G27)-ROW(G$4))))</f>
        <v>24</v>
      </c>
    </row>
    <row r="25" spans="1:10" ht="18" customHeight="1" x14ac:dyDescent="0.4">
      <c r="A25" s="4">
        <v>43827</v>
      </c>
      <c r="B25" s="5" t="s">
        <v>71</v>
      </c>
      <c r="C25" s="12" t="s">
        <v>72</v>
      </c>
      <c r="D25" s="13" t="s">
        <v>73</v>
      </c>
      <c r="E25" s="8"/>
      <c r="F25" s="9"/>
      <c r="G25" s="10" cm="1">
        <f t="array" ref="G25">IF(ROW(G25)-ROW(G$4)+1&gt;COUNT(I$1:I$40),"",INDEX(H:H,SMALL(I$1:I$40,1+ROW(G25)-ROW(G$4))))</f>
        <v>22</v>
      </c>
      <c r="H25">
        <v>25</v>
      </c>
      <c r="I25" s="1">
        <f t="shared" si="0"/>
        <v>25</v>
      </c>
      <c r="J25" s="1" cm="1">
        <f t="array" ref="J25">IF(ROW(G28)-ROW(G$4)+1&gt;COUNT(I$1:I$40),"",INDEX(H:H,SMALL(I$1:I$40,1+ROW(G28)-ROW(G$4))))</f>
        <v>25</v>
      </c>
    </row>
    <row r="26" spans="1:10" ht="18" customHeight="1" x14ac:dyDescent="0.4">
      <c r="A26" s="4">
        <v>43829</v>
      </c>
      <c r="B26" s="5" t="s">
        <v>74</v>
      </c>
      <c r="C26" s="12" t="s">
        <v>75</v>
      </c>
      <c r="D26" s="13" t="s">
        <v>76</v>
      </c>
      <c r="E26" s="8"/>
      <c r="F26" s="9"/>
      <c r="G26" s="10" cm="1">
        <f t="array" ref="G26">IF(ROW(G26)-ROW(G$4)+1&gt;COUNT(I$1:I$40),"",INDEX(H:H,SMALL(I$1:I$40,1+ROW(G26)-ROW(G$4))))</f>
        <v>23</v>
      </c>
      <c r="H26">
        <v>26</v>
      </c>
      <c r="I26" s="1">
        <f t="shared" si="0"/>
        <v>26</v>
      </c>
      <c r="J26" s="1" cm="1">
        <f t="array" ref="J26">IF(ROW(G29)-ROW(G$4)+1&gt;COUNT(I$1:I$40),"",INDEX(H:H,SMALL(I$1:I$40,1+ROW(G29)-ROW(G$4))))</f>
        <v>26</v>
      </c>
    </row>
    <row r="27" spans="1:10" ht="18" customHeight="1" x14ac:dyDescent="0.4">
      <c r="A27" s="4">
        <v>43829</v>
      </c>
      <c r="B27" s="5" t="s">
        <v>77</v>
      </c>
      <c r="C27" s="12" t="s">
        <v>78</v>
      </c>
      <c r="D27" s="13" t="s">
        <v>148</v>
      </c>
      <c r="E27" s="8"/>
      <c r="F27" s="9"/>
      <c r="G27" s="10" cm="1">
        <f t="array" ref="G27">IF(ROW(G27)-ROW(G$4)+1&gt;COUNT(I$1:I$40),"",INDEX(H:H,SMALL(I$1:I$40,1+ROW(G27)-ROW(G$4))))</f>
        <v>24</v>
      </c>
      <c r="H27">
        <v>27</v>
      </c>
      <c r="I27" s="1">
        <f t="shared" si="0"/>
        <v>27</v>
      </c>
      <c r="J27" s="1" cm="1">
        <f t="array" ref="J27">IF(ROW(G30)-ROW(G$4)+1&gt;COUNT(I$1:I$40),"",INDEX(H:H,SMALL(I$1:I$40,1+ROW(G30)-ROW(G$4))))</f>
        <v>27</v>
      </c>
    </row>
    <row r="28" spans="1:10" ht="18" customHeight="1" x14ac:dyDescent="0.4">
      <c r="A28" s="4">
        <v>43829</v>
      </c>
      <c r="B28" s="5" t="s">
        <v>80</v>
      </c>
      <c r="C28" s="12" t="s">
        <v>81</v>
      </c>
      <c r="D28" s="13" t="s">
        <v>82</v>
      </c>
      <c r="E28" s="8"/>
      <c r="F28" s="9"/>
      <c r="G28" s="10" cm="1">
        <f t="array" ref="G28">IF(ROW(G28)-ROW(G$4)+1&gt;COUNT(I$1:I$40),"",INDEX(H:H,SMALL(I$1:I$40,1+ROW(G28)-ROW(G$4))))</f>
        <v>25</v>
      </c>
      <c r="H28">
        <v>28</v>
      </c>
      <c r="I28" s="1">
        <f t="shared" si="0"/>
        <v>28</v>
      </c>
      <c r="J28" s="1" cm="1">
        <f t="array" ref="J28">IF(ROW(G31)-ROW(G$4)+1&gt;COUNT(I$1:I$40),"",INDEX(H:H,SMALL(I$1:I$40,1+ROW(G31)-ROW(G$4))))</f>
        <v>28</v>
      </c>
    </row>
    <row r="29" spans="1:10" ht="18" customHeight="1" x14ac:dyDescent="0.4">
      <c r="A29" s="4">
        <v>43829</v>
      </c>
      <c r="B29" s="5" t="s">
        <v>83</v>
      </c>
      <c r="C29" s="12" t="s">
        <v>84</v>
      </c>
      <c r="D29" s="13" t="s">
        <v>85</v>
      </c>
      <c r="E29" s="8"/>
      <c r="F29" s="9"/>
      <c r="G29" s="10" cm="1">
        <f t="array" ref="G29">IF(ROW(G29)-ROW(G$4)+1&gt;COUNT(I$1:I$40),"",INDEX(H:H,SMALL(I$1:I$40,1+ROW(G29)-ROW(G$4))))</f>
        <v>26</v>
      </c>
      <c r="H29">
        <v>29</v>
      </c>
      <c r="I29" s="1">
        <f t="shared" si="0"/>
        <v>29</v>
      </c>
      <c r="J29" s="1" cm="1">
        <f t="array" ref="J29">IF(ROW(G32)-ROW(G$4)+1&gt;COUNT(I$1:I$40),"",INDEX(H:H,SMALL(I$1:I$40,1+ROW(G32)-ROW(G$4))))</f>
        <v>29</v>
      </c>
    </row>
    <row r="30" spans="1:10" ht="18" customHeight="1" x14ac:dyDescent="0.4">
      <c r="A30" s="4">
        <v>43830</v>
      </c>
      <c r="B30" s="5" t="s">
        <v>86</v>
      </c>
      <c r="C30" s="12" t="s">
        <v>87</v>
      </c>
      <c r="D30" s="13" t="s">
        <v>88</v>
      </c>
      <c r="E30" s="8"/>
      <c r="F30" s="9"/>
      <c r="G30" s="10" cm="1">
        <f t="array" ref="G30">IF(ROW(G30)-ROW(G$4)+1&gt;COUNT(I$1:I$40),"",INDEX(H:H,SMALL(I$1:I$40,1+ROW(G30)-ROW(G$4))))</f>
        <v>27</v>
      </c>
      <c r="H30">
        <v>30</v>
      </c>
      <c r="I30" s="1">
        <f t="shared" si="0"/>
        <v>30</v>
      </c>
      <c r="J30" s="1" cm="1">
        <f t="array" ref="J30">IF(ROW(G33)-ROW(G$4)+1&gt;COUNT(I$1:I$40),"",INDEX(H:H,SMALL(I$1:I$40,1+ROW(G33)-ROW(G$4))))</f>
        <v>30</v>
      </c>
    </row>
    <row r="31" spans="1:10" ht="18" customHeight="1" x14ac:dyDescent="0.4">
      <c r="A31" s="4">
        <v>43830</v>
      </c>
      <c r="B31" s="5" t="s">
        <v>89</v>
      </c>
      <c r="C31" s="12" t="s">
        <v>90</v>
      </c>
      <c r="D31" s="13" t="s">
        <v>91</v>
      </c>
      <c r="E31" s="8"/>
      <c r="F31" s="9"/>
      <c r="G31" s="10" cm="1">
        <f t="array" ref="G31">IF(ROW(G31)-ROW(G$4)+1&gt;COUNT(I$1:I$40),"",INDEX(H:H,SMALL(I$1:I$40,1+ROW(G31)-ROW(G$4))))</f>
        <v>28</v>
      </c>
      <c r="H31">
        <v>31</v>
      </c>
      <c r="I31" s="1">
        <f t="shared" si="0"/>
        <v>31</v>
      </c>
      <c r="J31" s="1" cm="1">
        <f t="array" ref="J31">IF(ROW(G34)-ROW(G$4)+1&gt;COUNT(I$1:I$40),"",INDEX(H:H,SMALL(I$1:I$40,1+ROW(G34)-ROW(G$4))))</f>
        <v>31</v>
      </c>
    </row>
    <row r="32" spans="1:10" ht="18" customHeight="1" x14ac:dyDescent="0.4">
      <c r="A32" s="4">
        <v>43830</v>
      </c>
      <c r="B32" s="5" t="s">
        <v>92</v>
      </c>
      <c r="C32" s="12" t="s">
        <v>93</v>
      </c>
      <c r="D32" s="13" t="s">
        <v>94</v>
      </c>
      <c r="E32" s="8"/>
      <c r="F32" s="9"/>
      <c r="G32" s="10" cm="1">
        <f t="array" ref="G32">IF(ROW(G32)-ROW(G$4)+1&gt;COUNT(I$1:I$40),"",INDEX(H:H,SMALL(I$1:I$40,1+ROW(G32)-ROW(G$4))))</f>
        <v>29</v>
      </c>
      <c r="H32">
        <v>32</v>
      </c>
      <c r="I32" s="1">
        <f t="shared" si="0"/>
        <v>32</v>
      </c>
      <c r="J32" s="1" cm="1">
        <f t="array" ref="J32">IF(ROW(G35)-ROW(G$4)+1&gt;COUNT(I$1:I$40),"",INDEX(H:H,SMALL(I$1:I$40,1+ROW(G35)-ROW(G$4))))</f>
        <v>32</v>
      </c>
    </row>
    <row r="33" spans="1:10" ht="18" customHeight="1" x14ac:dyDescent="0.4">
      <c r="A33" s="4">
        <v>43830</v>
      </c>
      <c r="B33" s="5" t="s">
        <v>95</v>
      </c>
      <c r="C33" s="12" t="s">
        <v>96</v>
      </c>
      <c r="D33" s="13" t="s">
        <v>97</v>
      </c>
      <c r="E33" s="8"/>
      <c r="F33" s="9"/>
      <c r="G33" s="10" cm="1">
        <f t="array" ref="G33">IF(ROW(G33)-ROW(G$4)+1&gt;COUNT(I$1:I$40),"",INDEX(H:H,SMALL(I$1:I$40,1+ROW(G33)-ROW(G$4))))</f>
        <v>30</v>
      </c>
      <c r="H33">
        <v>33</v>
      </c>
      <c r="I33" s="1">
        <f t="shared" si="0"/>
        <v>33</v>
      </c>
      <c r="J33" s="1" cm="1">
        <f t="array" ref="J33">IF(ROW(G36)-ROW(G$4)+1&gt;COUNT(I$1:I$40),"",INDEX(H:H,SMALL(I$1:I$40,1+ROW(G36)-ROW(G$4))))</f>
        <v>33</v>
      </c>
    </row>
    <row r="34" spans="1:10" ht="18" customHeight="1" x14ac:dyDescent="0.4">
      <c r="A34" s="4">
        <v>43830</v>
      </c>
      <c r="B34" s="5" t="s">
        <v>98</v>
      </c>
      <c r="C34" s="12" t="s">
        <v>99</v>
      </c>
      <c r="D34" s="13" t="s">
        <v>100</v>
      </c>
      <c r="E34" s="8"/>
      <c r="F34" s="9"/>
      <c r="G34" s="10" cm="1">
        <f t="array" ref="G34">IF(ROW(G34)-ROW(G$4)+1&gt;COUNT(I$1:I$40),"",INDEX(H:H,SMALL(I$1:I$40,1+ROW(G34)-ROW(G$4))))</f>
        <v>31</v>
      </c>
      <c r="H34">
        <v>34</v>
      </c>
      <c r="I34" s="1">
        <f t="shared" si="0"/>
        <v>34</v>
      </c>
      <c r="J34" s="1" cm="1">
        <f t="array" ref="J34">IF(ROW(G37)-ROW(G$4)+1&gt;COUNT(I$1:I$40),"",INDEX(H:H,SMALL(I$1:I$40,1+ROW(G37)-ROW(G$4))))</f>
        <v>34</v>
      </c>
    </row>
    <row r="35" spans="1:10" ht="18" customHeight="1" x14ac:dyDescent="0.4">
      <c r="A35" s="4">
        <v>43466</v>
      </c>
      <c r="B35" s="5" t="s">
        <v>101</v>
      </c>
      <c r="C35" s="12" t="s">
        <v>102</v>
      </c>
      <c r="D35" s="13" t="s">
        <v>103</v>
      </c>
      <c r="E35" s="8"/>
      <c r="F35" s="9"/>
      <c r="G35" s="10" cm="1">
        <f t="array" ref="G35">IF(ROW(G35)-ROW(G$4)+1&gt;COUNT(I$1:I$40),"",INDEX(H:H,SMALL(I$1:I$40,1+ROW(G35)-ROW(G$4))))</f>
        <v>32</v>
      </c>
      <c r="H35">
        <v>35</v>
      </c>
      <c r="I35" s="1">
        <f t="shared" si="0"/>
        <v>35</v>
      </c>
      <c r="J35" s="1" cm="1">
        <f t="array" ref="J35">IF(ROW(G38)-ROW(G$4)+1&gt;COUNT(I$1:I$40),"",INDEX(H:H,SMALL(I$1:I$40,1+ROW(G38)-ROW(G$4))))</f>
        <v>35</v>
      </c>
    </row>
    <row r="36" spans="1:10" ht="18" customHeight="1" x14ac:dyDescent="0.4">
      <c r="A36" s="4">
        <v>43466</v>
      </c>
      <c r="B36" s="5" t="s">
        <v>104</v>
      </c>
      <c r="C36" s="12" t="s">
        <v>105</v>
      </c>
      <c r="D36" s="13" t="s">
        <v>106</v>
      </c>
      <c r="E36" s="8"/>
      <c r="F36" s="9"/>
      <c r="G36" s="10" cm="1">
        <f t="array" ref="G36">IF(ROW(G36)-ROW(G$4)+1&gt;COUNT(I$1:I$40),"",INDEX(H:H,SMALL(I$1:I$40,1+ROW(G36)-ROW(G$4))))</f>
        <v>33</v>
      </c>
      <c r="H36">
        <v>36</v>
      </c>
      <c r="I36" s="1">
        <f t="shared" si="0"/>
        <v>36</v>
      </c>
      <c r="J36" s="1" cm="1">
        <f t="array" ref="J36">IF(ROW(G39)-ROW(G$4)+1&gt;COUNT(I$1:I$40),"",INDEX(H:H,SMALL(I$1:I$40,1+ROW(G39)-ROW(G$4))))</f>
        <v>36</v>
      </c>
    </row>
    <row r="37" spans="1:10" ht="18" customHeight="1" x14ac:dyDescent="0.4">
      <c r="A37" s="4">
        <v>43466</v>
      </c>
      <c r="B37" s="5" t="s">
        <v>107</v>
      </c>
      <c r="C37" s="12" t="s">
        <v>108</v>
      </c>
      <c r="D37" s="13" t="s">
        <v>109</v>
      </c>
      <c r="E37" s="8"/>
      <c r="F37" s="9"/>
      <c r="G37" s="10" cm="1">
        <f t="array" ref="G37">IF(ROW(G37)-ROW(G$4)+1&gt;COUNT(I$1:I$40),"",INDEX(H:H,SMALL(I$1:I$40,1+ROW(G37)-ROW(G$4))))</f>
        <v>34</v>
      </c>
      <c r="H37">
        <v>37</v>
      </c>
      <c r="I37" s="1">
        <f t="shared" si="0"/>
        <v>37</v>
      </c>
      <c r="J37" s="1" cm="1">
        <f t="array" ref="J37">IF(ROW(G40)-ROW(G$4)+1&gt;COUNT(I$1:I$40),"",INDEX(H:H,SMALL(I$1:I$40,1+ROW(G40)-ROW(G$4))))</f>
        <v>37</v>
      </c>
    </row>
    <row r="38" spans="1:10" ht="18" customHeight="1" x14ac:dyDescent="0.4">
      <c r="A38" s="4">
        <v>43466</v>
      </c>
      <c r="B38" s="5" t="s">
        <v>110</v>
      </c>
      <c r="C38" s="12" t="s">
        <v>111</v>
      </c>
      <c r="D38" s="13" t="s">
        <v>112</v>
      </c>
      <c r="E38" s="8"/>
      <c r="F38" s="9"/>
      <c r="G38" s="10" cm="1">
        <f t="array" ref="G38">IF(ROW(G38)-ROW(G$4)+1&gt;COUNT(I$1:I$40),"",INDEX(H:H,SMALL(I$1:I$40,1+ROW(G38)-ROW(G$4))))</f>
        <v>35</v>
      </c>
      <c r="H38">
        <v>38</v>
      </c>
      <c r="I38" s="1">
        <f t="shared" si="0"/>
        <v>38</v>
      </c>
      <c r="J38" s="1" cm="1">
        <f t="array" ref="J38">IF(ROW(G41)-ROW(G$4)+1&gt;COUNT(I$1:I$40),"",INDEX(H:H,SMALL(I$1:I$40,1+ROW(G41)-ROW(G$4))))</f>
        <v>38</v>
      </c>
    </row>
    <row r="39" spans="1:10" ht="18" customHeight="1" x14ac:dyDescent="0.4">
      <c r="A39" s="4">
        <v>43467</v>
      </c>
      <c r="B39" s="5" t="s">
        <v>113</v>
      </c>
      <c r="C39" s="12" t="s">
        <v>114</v>
      </c>
      <c r="D39" s="13" t="s">
        <v>115</v>
      </c>
      <c r="E39" s="8"/>
      <c r="F39" s="9"/>
      <c r="G39" s="10" cm="1">
        <f t="array" ref="G39">IF(ROW(G39)-ROW(G$4)+1&gt;COUNT(I$1:I$40),"",INDEX(H:H,SMALL(I$1:I$40,1+ROW(G39)-ROW(G$4))))</f>
        <v>36</v>
      </c>
      <c r="H39">
        <v>39</v>
      </c>
      <c r="I39" s="1">
        <f t="shared" si="0"/>
        <v>39</v>
      </c>
      <c r="J39" s="1" cm="1">
        <f t="array" ref="J39">IF(ROW(G42)-ROW(G$4)+1&gt;COUNT(I$1:I$40),"",INDEX(H:H,SMALL(I$1:I$40,1+ROW(G42)-ROW(G$4))))</f>
        <v>39</v>
      </c>
    </row>
    <row r="40" spans="1:10" ht="18" customHeight="1" x14ac:dyDescent="0.4">
      <c r="A40" s="4">
        <v>43467</v>
      </c>
      <c r="B40" s="5" t="s">
        <v>116</v>
      </c>
      <c r="C40" s="12" t="s">
        <v>117</v>
      </c>
      <c r="D40" s="13" t="s">
        <v>118</v>
      </c>
      <c r="E40" s="8"/>
      <c r="F40" s="9"/>
      <c r="G40" s="10" cm="1">
        <f t="array" ref="G40">IF(ROW(G40)-ROW(G$4)+1&gt;COUNT(I$1:I$40),"",INDEX(H:H,SMALL(I$1:I$40,1+ROW(G40)-ROW(G$4))))</f>
        <v>37</v>
      </c>
      <c r="H40">
        <v>40</v>
      </c>
      <c r="I40" s="1">
        <f t="shared" si="0"/>
        <v>40</v>
      </c>
      <c r="J40" s="1" cm="1">
        <f t="array" ref="J40">IF(ROW(G43)-ROW(G$4)+1&gt;COUNT(I$1:I$40),"",INDEX(H:H,SMALL(I$1:I$40,1+ROW(G43)-ROW(G$4))))</f>
        <v>40</v>
      </c>
    </row>
    <row r="41" spans="1:10" ht="18" customHeight="1" x14ac:dyDescent="0.4">
      <c r="A41" s="4">
        <v>43468</v>
      </c>
      <c r="B41" s="5" t="s">
        <v>119</v>
      </c>
      <c r="C41" s="12" t="s">
        <v>120</v>
      </c>
      <c r="D41" s="13" t="s">
        <v>121</v>
      </c>
      <c r="E41" s="8"/>
      <c r="F41" s="9"/>
      <c r="G41" s="10" cm="1">
        <f t="array" ref="G41">IF(ROW(G41)-ROW(G$4)+1&gt;COUNT(I$1:I$40),"",INDEX(H:H,SMALL(I$1:I$40,1+ROW(G41)-ROW(G$4))))</f>
        <v>38</v>
      </c>
      <c r="I41" s="1"/>
      <c r="J41" s="1" t="str" cm="1">
        <f t="array" ref="J41">IF(ROW(G44)-ROW(G$4)+1&gt;COUNT(I$1:I$40),"",INDEX(H:H,SMALL(I$1:I$40,1+ROW(G44)-ROW(G$4))))</f>
        <v/>
      </c>
    </row>
    <row r="42" spans="1:10" ht="18" customHeight="1" x14ac:dyDescent="0.4">
      <c r="A42" s="4">
        <v>43469</v>
      </c>
      <c r="B42" s="5" t="s">
        <v>122</v>
      </c>
      <c r="C42" s="12" t="s">
        <v>123</v>
      </c>
      <c r="D42" s="13" t="s">
        <v>124</v>
      </c>
      <c r="E42" s="8"/>
      <c r="F42" s="9"/>
      <c r="G42" s="10" cm="1">
        <f t="array" ref="G42">IF(ROW(G42)-ROW(G$4)+1&gt;COUNT(I$1:I$40),"",INDEX(H:H,SMALL(I$1:I$40,1+ROW(G42)-ROW(G$4))))</f>
        <v>39</v>
      </c>
      <c r="H42" s="14"/>
    </row>
    <row r="43" spans="1:10" ht="18" customHeight="1" thickBot="1" x14ac:dyDescent="0.45">
      <c r="A43" s="15">
        <v>43471</v>
      </c>
      <c r="B43" s="16" t="s">
        <v>125</v>
      </c>
      <c r="C43" s="17" t="s">
        <v>126</v>
      </c>
      <c r="D43" s="18" t="s">
        <v>127</v>
      </c>
      <c r="E43" s="19"/>
      <c r="F43" s="20"/>
      <c r="G43" s="21" cm="1">
        <f t="array" ref="G43">IF(ROW(G43)-ROW(G$4)+1&gt;COUNT(I$1:I$40),"",INDEX(H:H,SMALL(I$1:I$40,1+ROW(G43)-ROW(G$4))))</f>
        <v>40</v>
      </c>
      <c r="H43" s="14"/>
    </row>
    <row r="44" spans="1:10" ht="18" customHeight="1" x14ac:dyDescent="0.4">
      <c r="A44" s="22"/>
      <c r="B44" s="104" t="s">
        <v>128</v>
      </c>
      <c r="C44" s="104"/>
      <c r="D44" s="104"/>
      <c r="E44" s="23"/>
      <c r="F44" s="24"/>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63" priority="2">
      <formula>LEN(TRIM(B1))=0</formula>
    </cfRule>
  </conditionalFormatting>
  <conditionalFormatting sqref="F4:F44">
    <cfRule type="duplicateValues" dxfId="62" priority="1"/>
  </conditionalFormatting>
  <dataValidations count="3">
    <dataValidation type="list" allowBlank="1" showInputMessage="1" showErrorMessage="1" sqref="E44" xr:uid="{B61B6784-2767-4263-8700-DB95998ABCBC}">
      <formula1>"LSU,Ohio State,Clemson,Oklahoma"</formula1>
    </dataValidation>
    <dataValidation type="list" errorStyle="warning" allowBlank="1" showInputMessage="1" sqref="E4:E43" xr:uid="{DF379779-4415-4AFC-AAFA-E516E34EA8F0}">
      <formula1>$C4:$D4</formula1>
    </dataValidation>
    <dataValidation type="list" allowBlank="1" showInputMessage="1" sqref="F4:F43" xr:uid="{71179E1E-88B3-4A66-BC9E-79262D688419}">
      <formula1>Confidence_Count</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4D290-34C8-45C3-9454-E07188C9717F}">
  <sheetPr codeName="Sheet1"/>
  <dimension ref="A2:Q20"/>
  <sheetViews>
    <sheetView workbookViewId="0">
      <selection activeCell="D2" sqref="D2"/>
    </sheetView>
  </sheetViews>
  <sheetFormatPr defaultRowHeight="14.5" x14ac:dyDescent="0.35"/>
  <cols>
    <col min="1" max="4" width="15.6328125" customWidth="1"/>
    <col min="5" max="5" width="14.36328125" bestFit="1" customWidth="1"/>
    <col min="6" max="9" width="0" hidden="1" customWidth="1"/>
  </cols>
  <sheetData>
    <row r="2" spans="1:17" ht="18.5" x14ac:dyDescent="0.45">
      <c r="C2" s="66" t="s">
        <v>146</v>
      </c>
      <c r="D2" s="68">
        <f ca="1">H4*10</f>
        <v>140</v>
      </c>
    </row>
    <row r="4" spans="1:17" ht="15" thickBot="1" x14ac:dyDescent="0.4">
      <c r="H4">
        <f ca="1">COUNTIF(G6:G20,"Yes")</f>
        <v>14</v>
      </c>
    </row>
    <row r="5" spans="1:17" ht="16" thickBot="1" x14ac:dyDescent="0.4">
      <c r="A5" s="2" t="s">
        <v>143</v>
      </c>
      <c r="B5" s="2" t="s">
        <v>144</v>
      </c>
      <c r="C5" s="2" t="s">
        <v>141</v>
      </c>
      <c r="D5" s="2" t="s">
        <v>7</v>
      </c>
      <c r="E5" s="71" t="s">
        <v>163</v>
      </c>
    </row>
    <row r="6" spans="1:17" ht="21.5" thickTop="1" x14ac:dyDescent="0.5">
      <c r="A6" s="47">
        <v>1</v>
      </c>
      <c r="B6" s="26" t="s">
        <v>135</v>
      </c>
      <c r="C6" s="26">
        <f ca="1">HLOOKUP($B6,Summary!$E$2:$S$4,2,FALSE)</f>
        <v>683</v>
      </c>
      <c r="D6" s="26">
        <f ca="1">HLOOKUP($B6,Summary!$E$2:$S$4,3,FALSE)</f>
        <v>0</v>
      </c>
      <c r="E6" s="26" t="str" cm="1">
        <f t="array" aca="1" ref="E6" ca="1">INDIRECT(B6&amp;"!P3")</f>
        <v>33/40</v>
      </c>
      <c r="G6" t="str" cm="1">
        <f t="array" aca="1" ref="G6" ca="1">IF(ISBLANK(INDIRECT($B6&amp;"!G1")), "", INDIRECT($B6&amp;"!G1"))</f>
        <v>Yes</v>
      </c>
      <c r="L6" s="102"/>
      <c r="M6" s="102"/>
      <c r="N6" s="102"/>
      <c r="O6" s="26"/>
      <c r="P6" s="26"/>
      <c r="Q6" s="26"/>
    </row>
    <row r="7" spans="1:17" ht="18.5" x14ac:dyDescent="0.45">
      <c r="A7" s="48">
        <f>A6+1</f>
        <v>2</v>
      </c>
      <c r="B7" s="26" t="s">
        <v>130</v>
      </c>
      <c r="C7" s="26">
        <f ca="1">HLOOKUP($B7,Summary!$E$2:$S$4,2,FALSE)</f>
        <v>664</v>
      </c>
      <c r="D7" s="26">
        <f ca="1">HLOOKUP($B7,Summary!$E$2:$S$4,3,FALSE)</f>
        <v>0</v>
      </c>
      <c r="E7" s="26" t="str" cm="1">
        <f t="array" aca="1" ref="E7" ca="1">INDIRECT(B7&amp;"!P3")</f>
        <v>31/40</v>
      </c>
      <c r="G7" t="str" cm="1">
        <f t="array" aca="1" ref="G7" ca="1">IF(ISBLANK(INDIRECT($B7&amp;"!G1")), "", INDIRECT($B7&amp;"!G1"))</f>
        <v>Yes</v>
      </c>
      <c r="L7" s="102"/>
      <c r="M7" s="102"/>
      <c r="N7" s="102"/>
      <c r="O7" s="26"/>
      <c r="P7" s="26"/>
      <c r="Q7" s="26"/>
    </row>
    <row r="8" spans="1:17" ht="15.5" x14ac:dyDescent="0.35">
      <c r="A8" s="49">
        <f t="shared" ref="A8:A20" si="0">A7+1</f>
        <v>3</v>
      </c>
      <c r="B8" s="26" t="s">
        <v>131</v>
      </c>
      <c r="C8" s="26">
        <f ca="1">HLOOKUP($B8,Summary!$E$2:$S$4,2,FALSE)</f>
        <v>651</v>
      </c>
      <c r="D8" s="26">
        <f ca="1">HLOOKUP($B8,Summary!$E$2:$S$4,3,FALSE)</f>
        <v>0</v>
      </c>
      <c r="E8" s="26" t="str" cm="1">
        <f t="array" aca="1" ref="E8" ca="1">INDIRECT(B8&amp;"!P3")</f>
        <v>29/40</v>
      </c>
      <c r="G8" t="str" cm="1">
        <f t="array" aca="1" ref="G8" ca="1">IF(ISBLANK(INDIRECT($B8&amp;"!G1")), "", INDIRECT($B8&amp;"!G1"))</f>
        <v>No</v>
      </c>
      <c r="L8" s="102"/>
      <c r="M8" s="102"/>
      <c r="N8" s="102"/>
      <c r="O8" s="26"/>
      <c r="P8" s="26"/>
      <c r="Q8" s="26"/>
    </row>
    <row r="9" spans="1:17" x14ac:dyDescent="0.35">
      <c r="A9" s="26">
        <f t="shared" si="0"/>
        <v>4</v>
      </c>
      <c r="B9" s="26" t="s">
        <v>133</v>
      </c>
      <c r="C9" s="26">
        <f ca="1">HLOOKUP($B9,Summary!$E$2:$S$4,2,FALSE)</f>
        <v>645</v>
      </c>
      <c r="D9" s="26">
        <f ca="1">HLOOKUP($B9,Summary!$E$2:$S$4,3,FALSE)</f>
        <v>0</v>
      </c>
      <c r="E9" s="26" t="str" cm="1">
        <f t="array" aca="1" ref="E9" ca="1">INDIRECT(B9&amp;"!P3")</f>
        <v>27/40</v>
      </c>
      <c r="G9" t="str" cm="1">
        <f t="array" aca="1" ref="G9" ca="1">IF(ISBLANK(INDIRECT($B9&amp;"!G1")), "", INDIRECT($B9&amp;"!G1"))</f>
        <v>Yes</v>
      </c>
      <c r="L9" s="102"/>
      <c r="M9" s="102"/>
      <c r="N9" s="102"/>
      <c r="O9" s="26"/>
      <c r="P9" s="26"/>
      <c r="Q9" s="26"/>
    </row>
    <row r="10" spans="1:17" x14ac:dyDescent="0.35">
      <c r="A10" s="26">
        <f t="shared" si="0"/>
        <v>5</v>
      </c>
      <c r="B10" s="26" t="s">
        <v>140</v>
      </c>
      <c r="C10" s="26">
        <f ca="1">HLOOKUP($B10,Summary!$E$2:$S$4,2,FALSE)</f>
        <v>625</v>
      </c>
      <c r="D10" s="26">
        <f ca="1">HLOOKUP($B10,Summary!$E$2:$S$4,3,FALSE)</f>
        <v>0</v>
      </c>
      <c r="E10" s="26" t="str" cm="1">
        <f t="array" aca="1" ref="E10" ca="1">INDIRECT(B10&amp;"!P3")</f>
        <v>27/40</v>
      </c>
      <c r="G10" t="str" cm="1">
        <f t="array" aca="1" ref="G10" ca="1">IF(ISBLANK(INDIRECT($B10&amp;"!G1")), "", INDIRECT($B10&amp;"!G1"))</f>
        <v>Yes</v>
      </c>
      <c r="L10" s="102"/>
      <c r="M10" s="102"/>
      <c r="N10" s="102"/>
      <c r="O10" s="26"/>
      <c r="P10" s="26"/>
      <c r="Q10" s="26"/>
    </row>
    <row r="11" spans="1:17" x14ac:dyDescent="0.35">
      <c r="A11" s="26">
        <f t="shared" si="0"/>
        <v>6</v>
      </c>
      <c r="B11" s="26" t="s">
        <v>136</v>
      </c>
      <c r="C11" s="26">
        <f ca="1">HLOOKUP($B11,Summary!$E$2:$S$4,2,FALSE)</f>
        <v>621</v>
      </c>
      <c r="D11" s="26">
        <f ca="1">HLOOKUP($B11,Summary!$E$2:$S$4,3,FALSE)</f>
        <v>0</v>
      </c>
      <c r="E11" s="26" t="str" cm="1">
        <f t="array" aca="1" ref="E11" ca="1">INDIRECT(B11&amp;"!P3")</f>
        <v>27/40</v>
      </c>
      <c r="G11" t="str" cm="1">
        <f t="array" aca="1" ref="G11" ca="1">IF(ISBLANK(INDIRECT($B11&amp;"!G1")), "", INDIRECT($B11&amp;"!G1"))</f>
        <v>Yes</v>
      </c>
    </row>
    <row r="12" spans="1:17" x14ac:dyDescent="0.35">
      <c r="A12" s="26">
        <f t="shared" si="0"/>
        <v>7</v>
      </c>
      <c r="B12" s="26" t="s">
        <v>132</v>
      </c>
      <c r="C12" s="26">
        <f ca="1">HLOOKUP($B12,Summary!$E$2:$S$4,2,FALSE)</f>
        <v>599</v>
      </c>
      <c r="D12" s="26">
        <f ca="1">HLOOKUP($B12,Summary!$E$2:$S$4,3,FALSE)</f>
        <v>0</v>
      </c>
      <c r="E12" s="26" t="str" cm="1">
        <f t="array" aca="1" ref="E12" ca="1">INDIRECT(B12&amp;"!P3")</f>
        <v>27/40</v>
      </c>
      <c r="G12" t="str" cm="1">
        <f t="array" aca="1" ref="G12" ca="1">IF(ISBLANK(INDIRECT($B12&amp;"!G1")), "", INDIRECT($B12&amp;"!G1"))</f>
        <v>Yes</v>
      </c>
    </row>
    <row r="13" spans="1:17" x14ac:dyDescent="0.35">
      <c r="A13" s="26">
        <f t="shared" si="0"/>
        <v>8</v>
      </c>
      <c r="B13" s="26" t="s">
        <v>134</v>
      </c>
      <c r="C13" s="26">
        <f ca="1">HLOOKUP($B13,Summary!$E$2:$S$4,2,FALSE)</f>
        <v>579</v>
      </c>
      <c r="D13" s="26">
        <f ca="1">HLOOKUP($B13,Summary!$E$2:$S$4,3,FALSE)</f>
        <v>0</v>
      </c>
      <c r="E13" s="26" t="str" cm="1">
        <f t="array" aca="1" ref="E13" ca="1">INDIRECT(B13&amp;"!P3")</f>
        <v>28/40</v>
      </c>
      <c r="G13" t="str" cm="1">
        <f t="array" aca="1" ref="G13" ca="1">IF(ISBLANK(INDIRECT($B13&amp;"!G1")), "", INDIRECT($B13&amp;"!G1"))</f>
        <v>Yes</v>
      </c>
    </row>
    <row r="14" spans="1:17" x14ac:dyDescent="0.35">
      <c r="A14" s="26">
        <f t="shared" si="0"/>
        <v>9</v>
      </c>
      <c r="B14" s="26" t="s">
        <v>159</v>
      </c>
      <c r="C14" s="26">
        <f ca="1">HLOOKUP($B14,Summary!$E$2:$S$4,2,FALSE)</f>
        <v>551</v>
      </c>
      <c r="D14" s="26">
        <f ca="1">HLOOKUP($B14,Summary!$E$2:$S$4,3,FALSE)</f>
        <v>0</v>
      </c>
      <c r="E14" s="26" t="str" cm="1">
        <f t="array" aca="1" ref="E14" ca="1">INDIRECT(B14&amp;"!P3")</f>
        <v>23/40</v>
      </c>
      <c r="G14" t="str" cm="1">
        <f t="array" aca="1" ref="G14" ca="1">IF(ISBLANK(INDIRECT($B14&amp;"!G1")), "", INDIRECT($B14&amp;"!G1"))</f>
        <v>Yes</v>
      </c>
    </row>
    <row r="15" spans="1:17" x14ac:dyDescent="0.35">
      <c r="A15" s="26">
        <f t="shared" si="0"/>
        <v>10</v>
      </c>
      <c r="B15" s="26" t="s">
        <v>137</v>
      </c>
      <c r="C15" s="26">
        <f ca="1">HLOOKUP($B15,Summary!$E$2:$S$4,2,FALSE)</f>
        <v>543</v>
      </c>
      <c r="D15" s="26">
        <f ca="1">HLOOKUP($B15,Summary!$E$2:$S$4,3,FALSE)</f>
        <v>0</v>
      </c>
      <c r="E15" s="26" t="str" cm="1">
        <f t="array" aca="1" ref="E15" ca="1">INDIRECT(B15&amp;"!P3")</f>
        <v>25/40</v>
      </c>
      <c r="G15" t="str" cm="1">
        <f t="array" aca="1" ref="G15" ca="1">IF(ISBLANK(INDIRECT($B15&amp;"!G1")), "", INDIRECT($B15&amp;"!G1"))</f>
        <v>Yes</v>
      </c>
    </row>
    <row r="16" spans="1:17" x14ac:dyDescent="0.35">
      <c r="A16" s="26">
        <f t="shared" si="0"/>
        <v>11</v>
      </c>
      <c r="B16" s="26" t="s">
        <v>160</v>
      </c>
      <c r="C16" s="26">
        <f ca="1">HLOOKUP($B16,Summary!$E$2:$S$4,2,FALSE)</f>
        <v>540</v>
      </c>
      <c r="D16" s="26">
        <f ca="1">HLOOKUP($B16,Summary!$E$2:$S$4,3,FALSE)</f>
        <v>0</v>
      </c>
      <c r="E16" s="26" t="str" cm="1">
        <f t="array" aca="1" ref="E16" ca="1">INDIRECT(B16&amp;"!P3")</f>
        <v>25/40</v>
      </c>
      <c r="G16" t="str" cm="1">
        <f t="array" aca="1" ref="G16" ca="1">IF(ISBLANK(INDIRECT($B16&amp;"!G1")), "", INDIRECT($B16&amp;"!G1"))</f>
        <v>Yes</v>
      </c>
    </row>
    <row r="17" spans="1:7" x14ac:dyDescent="0.35">
      <c r="A17" s="26">
        <f t="shared" si="0"/>
        <v>12</v>
      </c>
      <c r="B17" s="26" t="s">
        <v>157</v>
      </c>
      <c r="C17" s="26">
        <f ca="1">HLOOKUP($B17,Summary!$E$2:$S$4,2,FALSE)</f>
        <v>506</v>
      </c>
      <c r="D17" s="26">
        <f ca="1">HLOOKUP($B17,Summary!$E$2:$S$4,3,FALSE)</f>
        <v>0</v>
      </c>
      <c r="E17" s="26" t="str" cm="1">
        <f t="array" aca="1" ref="E17" ca="1">INDIRECT(B17&amp;"!P3")</f>
        <v>22/40</v>
      </c>
      <c r="G17" t="str" cm="1">
        <f t="array" aca="1" ref="G17" ca="1">IF(ISBLANK(INDIRECT($B17&amp;"!G1")), "", INDIRECT($B17&amp;"!G1"))</f>
        <v>Yes</v>
      </c>
    </row>
    <row r="18" spans="1:7" x14ac:dyDescent="0.35">
      <c r="A18" s="26">
        <f t="shared" si="0"/>
        <v>13</v>
      </c>
      <c r="B18" s="26" t="s">
        <v>139</v>
      </c>
      <c r="C18" s="26">
        <f ca="1">HLOOKUP($B18,Summary!$E$2:$S$4,2,FALSE)</f>
        <v>467</v>
      </c>
      <c r="D18" s="26">
        <f ca="1">HLOOKUP($B18,Summary!$E$2:$S$4,3,FALSE)</f>
        <v>0</v>
      </c>
      <c r="E18" s="26" t="str" cm="1">
        <f t="array" aca="1" ref="E18" ca="1">INDIRECT(B18&amp;"!P3")</f>
        <v>20/40</v>
      </c>
      <c r="G18" t="str" cm="1">
        <f t="array" aca="1" ref="G18" ca="1">IF(ISBLANK(INDIRECT($B18&amp;"!G1")), "", INDIRECT($B18&amp;"!G1"))</f>
        <v>Yes</v>
      </c>
    </row>
    <row r="19" spans="1:7" x14ac:dyDescent="0.35">
      <c r="A19" s="26">
        <f t="shared" si="0"/>
        <v>14</v>
      </c>
      <c r="B19" s="26" t="s">
        <v>138</v>
      </c>
      <c r="C19" s="26">
        <f ca="1">HLOOKUP($B19,Summary!$E$2:$S$4,2,FALSE)</f>
        <v>452</v>
      </c>
      <c r="D19" s="26">
        <f ca="1">HLOOKUP($B19,Summary!$E$2:$S$4,3,FALSE)</f>
        <v>0</v>
      </c>
      <c r="E19" s="26" t="str" cm="1">
        <f t="array" aca="1" ref="E19" ca="1">INDIRECT(B19&amp;"!P3")</f>
        <v>23/40</v>
      </c>
      <c r="G19" t="str" cm="1">
        <f t="array" aca="1" ref="G19" ca="1">IF(ISBLANK(INDIRECT($B19&amp;"!G1")), "", INDIRECT($B19&amp;"!G1"))</f>
        <v>Yes</v>
      </c>
    </row>
    <row r="20" spans="1:7" x14ac:dyDescent="0.35">
      <c r="A20" s="26">
        <f t="shared" si="0"/>
        <v>15</v>
      </c>
      <c r="B20" s="26" t="s">
        <v>158</v>
      </c>
      <c r="C20" s="26">
        <f ca="1">HLOOKUP($B20,Summary!$E$2:$S$4,2,FALSE)</f>
        <v>400</v>
      </c>
      <c r="D20" s="26">
        <f ca="1">HLOOKUP($B20,Summary!$E$2:$S$4,3,FALSE)</f>
        <v>0</v>
      </c>
      <c r="E20" s="26" t="str" cm="1">
        <f t="array" aca="1" ref="E20" ca="1">INDIRECT(B20&amp;"!P3")</f>
        <v>24/40</v>
      </c>
      <c r="G20" t="str" cm="1">
        <f t="array" aca="1" ref="G20" ca="1">IF(ISBLANK(INDIRECT($B20&amp;"!G1")), "", INDIRECT($B20&amp;"!G1"))</f>
        <v>Yes</v>
      </c>
    </row>
  </sheetData>
  <sortState xmlns:xlrd2="http://schemas.microsoft.com/office/spreadsheetml/2017/richdata2" ref="B6:E20">
    <sortCondition descending="1" ref="C6:C20"/>
    <sortCondition descending="1" ref="D6:D20"/>
  </sortState>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3A156-40EE-44A2-B01D-2EBB267D20FA}">
  <sheetPr codeName="Sheet3"/>
  <dimension ref="A1:AQ102"/>
  <sheetViews>
    <sheetView showGridLines="0" zoomScale="80" zoomScaleNormal="80" workbookViewId="0">
      <pane xSplit="4" ySplit="4" topLeftCell="E5" activePane="bottomRight" state="frozen"/>
      <selection pane="topRight" activeCell="E1" sqref="E1"/>
      <selection pane="bottomLeft" activeCell="A5" sqref="A5"/>
      <selection pane="bottomRight" activeCell="E11" sqref="E11"/>
    </sheetView>
  </sheetViews>
  <sheetFormatPr defaultRowHeight="14.5" x14ac:dyDescent="0.35"/>
  <cols>
    <col min="2" max="2" width="18.54296875" bestFit="1" customWidth="1"/>
    <col min="3" max="3" width="19.1796875" customWidth="1"/>
    <col min="4" max="4" width="10.54296875" bestFit="1" customWidth="1"/>
    <col min="5" max="14" width="9.6328125" customWidth="1"/>
    <col min="15" max="15" width="10.26953125" customWidth="1"/>
    <col min="16" max="19" width="9.6328125" customWidth="1"/>
    <col min="20" max="20" width="8.7265625" hidden="1" customWidth="1"/>
    <col min="21" max="21" width="16.6328125" style="26" customWidth="1"/>
    <col min="22" max="22" width="11.54296875" style="26" customWidth="1"/>
    <col min="23" max="23" width="16.6328125" style="26" hidden="1" customWidth="1"/>
    <col min="24" max="24" width="16.36328125" style="26" customWidth="1"/>
    <col min="25" max="25" width="12.6328125" bestFit="1" customWidth="1"/>
    <col min="26" max="26" width="16.36328125" style="26" hidden="1" customWidth="1"/>
    <col min="27" max="43" width="8.7265625" hidden="1" customWidth="1"/>
  </cols>
  <sheetData>
    <row r="1" spans="1:43" ht="15" thickBot="1" x14ac:dyDescent="0.4">
      <c r="B1" s="74"/>
      <c r="U1" s="90" t="s">
        <v>170</v>
      </c>
      <c r="V1" s="91">
        <f ca="1">V90</f>
        <v>33.92307692307692</v>
      </c>
      <c r="X1" s="94" t="s">
        <v>171</v>
      </c>
      <c r="Y1" s="95">
        <f ca="1">Y90</f>
        <v>29.625</v>
      </c>
    </row>
    <row r="2" spans="1:43" s="27" customFormat="1" ht="16" thickBot="1" x14ac:dyDescent="0.4">
      <c r="A2"/>
      <c r="B2"/>
      <c r="C2"/>
      <c r="D2"/>
      <c r="E2" s="55" t="s">
        <v>130</v>
      </c>
      <c r="F2" s="56" t="s">
        <v>131</v>
      </c>
      <c r="G2" s="56" t="s">
        <v>159</v>
      </c>
      <c r="H2" s="56" t="s">
        <v>132</v>
      </c>
      <c r="I2" s="56" t="s">
        <v>133</v>
      </c>
      <c r="J2" s="56" t="s">
        <v>134</v>
      </c>
      <c r="K2" s="56" t="s">
        <v>160</v>
      </c>
      <c r="L2" s="56" t="s">
        <v>135</v>
      </c>
      <c r="M2" s="56" t="s">
        <v>136</v>
      </c>
      <c r="N2" s="56" t="s">
        <v>137</v>
      </c>
      <c r="O2" s="56" t="s">
        <v>138</v>
      </c>
      <c r="P2" s="56" t="s">
        <v>158</v>
      </c>
      <c r="Q2" s="56" t="s">
        <v>139</v>
      </c>
      <c r="R2" s="56" t="s">
        <v>140</v>
      </c>
      <c r="S2" s="57" t="s">
        <v>157</v>
      </c>
      <c r="U2" s="92" t="s">
        <v>166</v>
      </c>
      <c r="V2" s="93" t="str">
        <f ca="1">V91</f>
        <v>Orange Bowl</v>
      </c>
      <c r="W2" s="72"/>
      <c r="X2" s="96" t="s">
        <v>168</v>
      </c>
      <c r="Y2" s="97" t="str">
        <f ca="1">Y91</f>
        <v>Outback Bowl</v>
      </c>
      <c r="Z2" s="72"/>
    </row>
    <row r="3" spans="1:43" s="27" customFormat="1" ht="16" thickBot="1" x14ac:dyDescent="0.4">
      <c r="A3"/>
      <c r="B3"/>
      <c r="C3"/>
      <c r="D3" s="38" t="s">
        <v>141</v>
      </c>
      <c r="E3" s="58">
        <f t="shared" ref="E3:S3" ca="1" si="0">SUM(E5:E44)</f>
        <v>664</v>
      </c>
      <c r="F3" s="59">
        <f t="shared" ca="1" si="0"/>
        <v>651</v>
      </c>
      <c r="G3" s="59">
        <f t="shared" ca="1" si="0"/>
        <v>551</v>
      </c>
      <c r="H3" s="59">
        <f t="shared" ca="1" si="0"/>
        <v>599</v>
      </c>
      <c r="I3" s="59">
        <f t="shared" ca="1" si="0"/>
        <v>645</v>
      </c>
      <c r="J3" s="59">
        <f t="shared" ca="1" si="0"/>
        <v>579</v>
      </c>
      <c r="K3" s="59">
        <f t="shared" ca="1" si="0"/>
        <v>540</v>
      </c>
      <c r="L3" s="59">
        <f t="shared" ca="1" si="0"/>
        <v>683</v>
      </c>
      <c r="M3" s="59">
        <f t="shared" ca="1" si="0"/>
        <v>621</v>
      </c>
      <c r="N3" s="59">
        <f t="shared" ca="1" si="0"/>
        <v>543</v>
      </c>
      <c r="O3" s="59">
        <f t="shared" ca="1" si="0"/>
        <v>452</v>
      </c>
      <c r="P3" s="59">
        <f t="shared" ca="1" si="0"/>
        <v>400</v>
      </c>
      <c r="Q3" s="59">
        <f t="shared" ca="1" si="0"/>
        <v>467</v>
      </c>
      <c r="R3" s="59">
        <f t="shared" ca="1" si="0"/>
        <v>625</v>
      </c>
      <c r="S3" s="60">
        <f t="shared" ca="1" si="0"/>
        <v>506</v>
      </c>
      <c r="U3" s="72"/>
      <c r="V3" s="72"/>
      <c r="W3" s="72"/>
      <c r="X3" s="72"/>
      <c r="Z3" s="72"/>
    </row>
    <row r="4" spans="1:43" s="27" customFormat="1" ht="16" thickBot="1" x14ac:dyDescent="0.4">
      <c r="A4" s="38" t="s">
        <v>2</v>
      </c>
      <c r="B4" s="38" t="s">
        <v>3</v>
      </c>
      <c r="C4" s="38" t="s">
        <v>129</v>
      </c>
      <c r="D4" s="2" t="s">
        <v>7</v>
      </c>
      <c r="E4" s="61">
        <f t="shared" ref="E4:S4" ca="1" si="1">E45</f>
        <v>0</v>
      </c>
      <c r="F4" s="62">
        <f t="shared" ca="1" si="1"/>
        <v>0</v>
      </c>
      <c r="G4" s="62">
        <f t="shared" ca="1" si="1"/>
        <v>0</v>
      </c>
      <c r="H4" s="62">
        <f t="shared" ca="1" si="1"/>
        <v>0</v>
      </c>
      <c r="I4" s="62">
        <f t="shared" ca="1" si="1"/>
        <v>0</v>
      </c>
      <c r="J4" s="62">
        <f t="shared" ca="1" si="1"/>
        <v>0</v>
      </c>
      <c r="K4" s="62">
        <f t="shared" ca="1" si="1"/>
        <v>0</v>
      </c>
      <c r="L4" s="62">
        <f t="shared" ca="1" si="1"/>
        <v>0</v>
      </c>
      <c r="M4" s="62">
        <f t="shared" ca="1" si="1"/>
        <v>0</v>
      </c>
      <c r="N4" s="62">
        <f t="shared" ca="1" si="1"/>
        <v>0</v>
      </c>
      <c r="O4" s="62">
        <f t="shared" ca="1" si="1"/>
        <v>0</v>
      </c>
      <c r="P4" s="62">
        <f t="shared" ca="1" si="1"/>
        <v>0</v>
      </c>
      <c r="Q4" s="62">
        <f t="shared" ca="1" si="1"/>
        <v>0</v>
      </c>
      <c r="R4" s="62">
        <f t="shared" ca="1" si="1"/>
        <v>0</v>
      </c>
      <c r="S4" s="63">
        <f t="shared" ca="1" si="1"/>
        <v>0</v>
      </c>
      <c r="U4" s="38" t="s">
        <v>165</v>
      </c>
      <c r="V4" s="38" t="s">
        <v>166</v>
      </c>
      <c r="W4" s="38"/>
      <c r="X4" s="38" t="s">
        <v>169</v>
      </c>
      <c r="Y4" s="38" t="s">
        <v>168</v>
      </c>
      <c r="Z4" s="38"/>
      <c r="AP4" s="27" t="s">
        <v>167</v>
      </c>
      <c r="AQ4" s="27" t="s">
        <v>167</v>
      </c>
    </row>
    <row r="5" spans="1:43" ht="16" thickTop="1" x14ac:dyDescent="0.35">
      <c r="A5" s="64">
        <v>43819</v>
      </c>
      <c r="B5" s="65" t="s">
        <v>8</v>
      </c>
      <c r="C5" s="65" t="s">
        <v>9</v>
      </c>
      <c r="D5" s="39"/>
      <c r="E5" s="51" cm="1">
        <f t="array" aca="1" ref="E5" ca="1">IF(ISBLANK($C5),"",IF(($C5=(INDIRECT(E$2&amp;"!E"&amp;$T5))),(INDIRECT(E$2&amp;"!F"&amp;$T5)),0))</f>
        <v>28</v>
      </c>
      <c r="F5" s="52" cm="1">
        <f t="array" aca="1" ref="F5" ca="1">IF(ISBLANK($C5),"",IF(($C5=(INDIRECT(F$2&amp;"!E"&amp;$T5))),(INDIRECT(F$2&amp;"!F"&amp;$T5)),0))</f>
        <v>25</v>
      </c>
      <c r="G5" s="52" cm="1">
        <f t="array" aca="1" ref="G5" ca="1">IF(ISBLANK($C5),"",IF(($C5=(INDIRECT(G$2&amp;"!E"&amp;$T5))),(INDIRECT(G$2&amp;"!F"&amp;$T5)),0))</f>
        <v>1</v>
      </c>
      <c r="H5" s="52" cm="1">
        <f t="array" aca="1" ref="H5" ca="1">IF(ISBLANK($C5),"",IF(($C5=(INDIRECT(H$2&amp;"!E"&amp;$T5))),(INDIRECT(H$2&amp;"!F"&amp;$T5)),0))</f>
        <v>13</v>
      </c>
      <c r="I5" s="52" cm="1">
        <f t="array" aca="1" ref="I5" ca="1">IF(ISBLANK($C5),"",IF(($C5=(INDIRECT(I$2&amp;"!E"&amp;$T5))),(INDIRECT(I$2&amp;"!F"&amp;$T5)),0))</f>
        <v>25</v>
      </c>
      <c r="J5" s="52" cm="1">
        <f t="array" aca="1" ref="J5" ca="1">IF(ISBLANK($C5),"",IF(($C5=(INDIRECT(J$2&amp;"!E"&amp;$T5))),(INDIRECT(J$2&amp;"!F"&amp;$T5)),0))</f>
        <v>5</v>
      </c>
      <c r="K5" s="52" cm="1">
        <f t="array" aca="1" ref="K5" ca="1">IF(ISBLANK($C5),"",IF(($C5=(INDIRECT(K$2&amp;"!E"&amp;$T5))),(INDIRECT(K$2&amp;"!F"&amp;$T5)),0))</f>
        <v>20</v>
      </c>
      <c r="L5" s="52" cm="1">
        <f t="array" aca="1" ref="L5" ca="1">IF(ISBLANK($C5),"",IF(($C5=(INDIRECT(L$2&amp;"!E"&amp;$T5))),(INDIRECT(L$2&amp;"!F"&amp;$T5)),0))</f>
        <v>31</v>
      </c>
      <c r="M5" s="52" cm="1">
        <f t="array" aca="1" ref="M5" ca="1">IF(ISBLANK($C5),"",IF(($C5=(INDIRECT(M$2&amp;"!E"&amp;$T5))),(INDIRECT(M$2&amp;"!F"&amp;$T5)),0))</f>
        <v>12</v>
      </c>
      <c r="N5" s="52" cm="1">
        <f t="array" aca="1" ref="N5" ca="1">IF(ISBLANK($C5),"",IF(($C5=(INDIRECT(N$2&amp;"!E"&amp;$T5))),(INDIRECT(N$2&amp;"!F"&amp;$T5)),0))</f>
        <v>3</v>
      </c>
      <c r="O5" s="52" cm="1">
        <f t="array" aca="1" ref="O5" ca="1">IF(ISBLANK($C5),"",IF(($C5=(INDIRECT(O$2&amp;"!E"&amp;$T5))),(INDIRECT(O$2&amp;"!F"&amp;$T5)),0))</f>
        <v>19</v>
      </c>
      <c r="P5" s="52" cm="1">
        <f t="array" aca="1" ref="P5" ca="1">IF(ISBLANK($C5),"",IF(($C5=(INDIRECT(P$2&amp;"!E"&amp;$T5))),(INDIRECT(P$2&amp;"!F"&amp;$T5)),0))</f>
        <v>34</v>
      </c>
      <c r="Q5" s="52" cm="1">
        <f t="array" aca="1" ref="Q5" ca="1">IF(ISBLANK($C5),"",IF(($C5=(INDIRECT(Q$2&amp;"!E"&amp;$T5))),(INDIRECT(Q$2&amp;"!F"&amp;$T5)),0))</f>
        <v>0</v>
      </c>
      <c r="R5" s="52" cm="1">
        <f t="array" aca="1" ref="R5" ca="1">IF(ISBLANK($C5),"",IF(($C5=(INDIRECT(R$2&amp;"!E"&amp;$T5))),(INDIRECT(R$2&amp;"!F"&amp;$T5)),0))</f>
        <v>0</v>
      </c>
      <c r="S5" s="53" cm="1">
        <f t="array" aca="1" ref="S5" ca="1">IF(ISBLANK($C5),"",IF(($C5=(INDIRECT(S$2&amp;"!E"&amp;$T5))),(INDIRECT(S$2&amp;"!F"&amp;$T5)),0))</f>
        <v>25</v>
      </c>
      <c r="T5" s="50">
        <f>ROW()-1</f>
        <v>4</v>
      </c>
      <c r="U5" s="75">
        <f t="shared" ref="U5:U42" ca="1" si="2">IF(ISBLANK(C5),"",COUNTIF(E5:S5,"&gt;0"))</f>
        <v>13</v>
      </c>
      <c r="V5" s="77">
        <f t="shared" ref="V5:V42" ca="1" si="3">IF(ISBLANK(C5),"",AVERAGEIF(E5:S5,"&gt;0"))</f>
        <v>18.53846153846154</v>
      </c>
      <c r="W5" s="76" t="s">
        <v>8</v>
      </c>
      <c r="X5" s="84">
        <f t="shared" ref="X5:X42" ca="1" si="4">IF(ISBLANK(C5),"",15-U5)</f>
        <v>2</v>
      </c>
      <c r="Y5" s="85">
        <f t="shared" ref="Y5:Y42" ca="1" si="5">IF(ISBLANK(C5),"",IF(U5&lt;15,AVERAGE(AA5:AO5),0))</f>
        <v>17.5</v>
      </c>
      <c r="Z5" s="76" t="s">
        <v>8</v>
      </c>
      <c r="AA5" t="str" cm="1">
        <f t="array" aca="1" ref="AA5" ca="1">IF(ISBLANK($C5),"",IF(E5=0,INDIRECT(E$2&amp;"!F"&amp;$T5),""))</f>
        <v/>
      </c>
      <c r="AB5" t="str" cm="1">
        <f t="array" aca="1" ref="AB5" ca="1">IF(ISBLANK($C5),"",IF(F5=0,INDIRECT(F$2&amp;"!F"&amp;$T5),""))</f>
        <v/>
      </c>
      <c r="AC5" t="str" cm="1">
        <f t="array" aca="1" ref="AC5" ca="1">IF(ISBLANK($C5),"",IF(G5=0,INDIRECT(G$2&amp;"!F"&amp;$T5),""))</f>
        <v/>
      </c>
      <c r="AD5" t="str" cm="1">
        <f t="array" aca="1" ref="AD5" ca="1">IF(ISBLANK($C5),"",IF(H5=0,INDIRECT(H$2&amp;"!F"&amp;$T5),""))</f>
        <v/>
      </c>
      <c r="AE5" t="str" cm="1">
        <f t="array" aca="1" ref="AE5" ca="1">IF(ISBLANK($C5),"",IF(I5=0,INDIRECT(I$2&amp;"!F"&amp;$T5),""))</f>
        <v/>
      </c>
      <c r="AF5" t="str" cm="1">
        <f t="array" aca="1" ref="AF5" ca="1">IF(ISBLANK($C5),"",IF(J5=0,INDIRECT(J$2&amp;"!F"&amp;$T5),""))</f>
        <v/>
      </c>
      <c r="AG5" t="str" cm="1">
        <f t="array" aca="1" ref="AG5" ca="1">IF(ISBLANK($C5),"",IF(K5=0,INDIRECT(K$2&amp;"!F"&amp;$T5),""))</f>
        <v/>
      </c>
      <c r="AH5" t="str" cm="1">
        <f t="array" aca="1" ref="AH5" ca="1">IF(ISBLANK($C5),"",IF(L5=0,INDIRECT(L$2&amp;"!F"&amp;$T5),""))</f>
        <v/>
      </c>
      <c r="AI5" t="str" cm="1">
        <f t="array" aca="1" ref="AI5" ca="1">IF(ISBLANK($C5),"",IF(M5=0,INDIRECT(M$2&amp;"!F"&amp;$T5),""))</f>
        <v/>
      </c>
      <c r="AJ5" t="str" cm="1">
        <f t="array" aca="1" ref="AJ5" ca="1">IF(ISBLANK($C5),"",IF(N5=0,INDIRECT(N$2&amp;"!F"&amp;$T5),""))</f>
        <v/>
      </c>
      <c r="AK5" t="str" cm="1">
        <f t="array" aca="1" ref="AK5" ca="1">IF(ISBLANK($C5),"",IF(O5=0,INDIRECT(O$2&amp;"!F"&amp;$T5),""))</f>
        <v/>
      </c>
      <c r="AL5" t="str" cm="1">
        <f t="array" aca="1" ref="AL5" ca="1">IF(ISBLANK($C5),"",IF(P5=0,INDIRECT(P$2&amp;"!F"&amp;$T5),""))</f>
        <v/>
      </c>
      <c r="AM5" cm="1">
        <f t="array" aca="1" ref="AM5" ca="1">IF(ISBLANK($C5),"",IF(Q5=0,INDIRECT(Q$2&amp;"!F"&amp;$T5),""))</f>
        <v>33</v>
      </c>
      <c r="AN5" cm="1">
        <f t="array" aca="1" ref="AN5" ca="1">IF(ISBLANK($C5),"",IF(R5=0,INDIRECT(R$2&amp;"!F"&amp;$T5),""))</f>
        <v>2</v>
      </c>
      <c r="AO5" t="str" cm="1">
        <f t="array" aca="1" ref="AO5" ca="1">IF(ISBLANK($C5),"",IF(S5=0,INDIRECT(S$2&amp;"!F"&amp;$T5),""))</f>
        <v/>
      </c>
      <c r="AP5">
        <f t="shared" ref="AP5:AP44" ca="1" si="6">COUNTIF(AA5:AO5,"&gt;0")</f>
        <v>2</v>
      </c>
      <c r="AQ5">
        <f t="shared" ref="AQ5:AQ44" ca="1" si="7">AP5+U5</f>
        <v>15</v>
      </c>
    </row>
    <row r="6" spans="1:43" ht="15.5" x14ac:dyDescent="0.35">
      <c r="A6" s="28">
        <v>43819</v>
      </c>
      <c r="B6" s="29" t="s">
        <v>11</v>
      </c>
      <c r="C6" s="29" t="s">
        <v>13</v>
      </c>
      <c r="D6" s="39"/>
      <c r="E6" s="41" cm="1">
        <f t="array" aca="1" ref="E6" ca="1">IF(ISBLANK($C6),"",IF(($C6=(INDIRECT(E$2&amp;"!E"&amp;$T6))),(INDIRECT(E$2&amp;"!F"&amp;$T6)),0))</f>
        <v>0</v>
      </c>
      <c r="F6" s="42" cm="1">
        <f t="array" aca="1" ref="F6" ca="1">IF(ISBLANK($C6),"",IF(($C6=(INDIRECT(F$2&amp;"!E"&amp;$T6))),(INDIRECT(F$2&amp;"!F"&amp;$T6)),0))</f>
        <v>0</v>
      </c>
      <c r="G6" s="42" cm="1">
        <f t="array" aca="1" ref="G6" ca="1">IF(ISBLANK($C6),"",IF(($C6=(INDIRECT(G$2&amp;"!E"&amp;$T6))),(INDIRECT(G$2&amp;"!F"&amp;$T6)),0))</f>
        <v>3</v>
      </c>
      <c r="H6" s="42" cm="1">
        <f t="array" aca="1" ref="H6" ca="1">IF(ISBLANK($C6),"",IF(($C6=(INDIRECT(H$2&amp;"!E"&amp;$T6))),(INDIRECT(H$2&amp;"!F"&amp;$T6)),0))</f>
        <v>0</v>
      </c>
      <c r="I6" s="42" cm="1">
        <f t="array" aca="1" ref="I6" ca="1">IF(ISBLANK($C6),"",IF(($C6=(INDIRECT(I$2&amp;"!E"&amp;$T6))),(INDIRECT(I$2&amp;"!F"&amp;$T6)),0))</f>
        <v>0</v>
      </c>
      <c r="J6" s="42" cm="1">
        <f t="array" aca="1" ref="J6" ca="1">IF(ISBLANK($C6),"",IF(($C6=(INDIRECT(J$2&amp;"!E"&amp;$T6))),(INDIRECT(J$2&amp;"!F"&amp;$T6)),0))</f>
        <v>0</v>
      </c>
      <c r="K6" s="42" cm="1">
        <f t="array" aca="1" ref="K6" ca="1">IF(ISBLANK($C6),"",IF(($C6=(INDIRECT(K$2&amp;"!E"&amp;$T6))),(INDIRECT(K$2&amp;"!F"&amp;$T6)),0))</f>
        <v>0</v>
      </c>
      <c r="L6" s="42" cm="1">
        <f t="array" aca="1" ref="L6" ca="1">IF(ISBLANK($C6),"",IF(($C6=(INDIRECT(L$2&amp;"!E"&amp;$T6))),(INDIRECT(L$2&amp;"!F"&amp;$T6)),0))</f>
        <v>0</v>
      </c>
      <c r="M6" s="42" cm="1">
        <f t="array" aca="1" ref="M6" ca="1">IF(ISBLANK($C6),"",IF(($C6=(INDIRECT(M$2&amp;"!E"&amp;$T6))),(INDIRECT(M$2&amp;"!F"&amp;$T6)),0))</f>
        <v>0</v>
      </c>
      <c r="N6" s="42" cm="1">
        <f t="array" aca="1" ref="N6" ca="1">IF(ISBLANK($C6),"",IF(($C6=(INDIRECT(N$2&amp;"!E"&amp;$T6))),(INDIRECT(N$2&amp;"!F"&amp;$T6)),0))</f>
        <v>0</v>
      </c>
      <c r="O6" s="42" cm="1">
        <f t="array" aca="1" ref="O6" ca="1">IF(ISBLANK($C6),"",IF(($C6=(INDIRECT(O$2&amp;"!E"&amp;$T6))),(INDIRECT(O$2&amp;"!F"&amp;$T6)),0))</f>
        <v>2</v>
      </c>
      <c r="P6" s="42" cm="1">
        <f t="array" aca="1" ref="P6" ca="1">IF(ISBLANK($C6),"",IF(($C6=(INDIRECT(P$2&amp;"!E"&amp;$T6))),(INDIRECT(P$2&amp;"!F"&amp;$T6)),0))</f>
        <v>27</v>
      </c>
      <c r="Q6" s="42" cm="1">
        <f t="array" aca="1" ref="Q6" ca="1">IF(ISBLANK($C6),"",IF(($C6=(INDIRECT(Q$2&amp;"!E"&amp;$T6))),(INDIRECT(Q$2&amp;"!F"&amp;$T6)),0))</f>
        <v>0</v>
      </c>
      <c r="R6" s="42" cm="1">
        <f t="array" aca="1" ref="R6" ca="1">IF(ISBLANK($C6),"",IF(($C6=(INDIRECT(R$2&amp;"!E"&amp;$T6))),(INDIRECT(R$2&amp;"!F"&amp;$T6)),0))</f>
        <v>0</v>
      </c>
      <c r="S6" s="43" cm="1">
        <f t="array" aca="1" ref="S6" ca="1">IF(ISBLANK($C6),"",IF(($C6=(INDIRECT(S$2&amp;"!E"&amp;$T6))),(INDIRECT(S$2&amp;"!F"&amp;$T6)),0))</f>
        <v>0</v>
      </c>
      <c r="T6" s="50">
        <f t="shared" ref="T6:T44" si="8">ROW()-1</f>
        <v>5</v>
      </c>
      <c r="U6" s="78">
        <f t="shared" ca="1" si="2"/>
        <v>3</v>
      </c>
      <c r="V6" s="80">
        <f t="shared" ca="1" si="3"/>
        <v>10.666666666666666</v>
      </c>
      <c r="W6" s="79" t="s">
        <v>11</v>
      </c>
      <c r="X6" s="86">
        <f t="shared" ca="1" si="4"/>
        <v>12</v>
      </c>
      <c r="Y6" s="87">
        <f t="shared" ca="1" si="5"/>
        <v>23.416666666666668</v>
      </c>
      <c r="Z6" s="79" t="s">
        <v>11</v>
      </c>
      <c r="AA6" cm="1">
        <f t="array" aca="1" ref="AA6" ca="1">IF(ISBLANK($C6),"",IF(E6=0,INDIRECT(E$2&amp;"!F"&amp;$T6),""))</f>
        <v>36</v>
      </c>
      <c r="AB6" cm="1">
        <f t="array" aca="1" ref="AB6" ca="1">IF(ISBLANK($C6),"",IF(F6=0,INDIRECT(F$2&amp;"!F"&amp;$T6),""))</f>
        <v>24</v>
      </c>
      <c r="AC6" t="str" cm="1">
        <f t="array" aca="1" ref="AC6" ca="1">IF(ISBLANK($C6),"",IF(G6=0,INDIRECT(G$2&amp;"!F"&amp;$T6),""))</f>
        <v/>
      </c>
      <c r="AD6" cm="1">
        <f t="array" aca="1" ref="AD6" ca="1">IF(ISBLANK($C6),"",IF(H6=0,INDIRECT(H$2&amp;"!F"&amp;$T6),""))</f>
        <v>20</v>
      </c>
      <c r="AE6" cm="1">
        <f t="array" aca="1" ref="AE6" ca="1">IF(ISBLANK($C6),"",IF(I6=0,INDIRECT(I$2&amp;"!F"&amp;$T6),""))</f>
        <v>30</v>
      </c>
      <c r="AF6" cm="1">
        <f t="array" aca="1" ref="AF6" ca="1">IF(ISBLANK($C6),"",IF(J6=0,INDIRECT(J$2&amp;"!F"&amp;$T6),""))</f>
        <v>31</v>
      </c>
      <c r="AG6" cm="1">
        <f t="array" aca="1" ref="AG6" ca="1">IF(ISBLANK($C6),"",IF(K6=0,INDIRECT(K$2&amp;"!F"&amp;$T6),""))</f>
        <v>31</v>
      </c>
      <c r="AH6" cm="1">
        <f t="array" aca="1" ref="AH6" ca="1">IF(ISBLANK($C6),"",IF(L6=0,INDIRECT(L$2&amp;"!F"&amp;$T6),""))</f>
        <v>26</v>
      </c>
      <c r="AI6" cm="1">
        <f t="array" aca="1" ref="AI6" ca="1">IF(ISBLANK($C6),"",IF(M6=0,INDIRECT(M$2&amp;"!F"&amp;$T6),""))</f>
        <v>27</v>
      </c>
      <c r="AJ6" cm="1">
        <f t="array" aca="1" ref="AJ6" ca="1">IF(ISBLANK($C6),"",IF(N6=0,INDIRECT(N$2&amp;"!F"&amp;$T6),""))</f>
        <v>15</v>
      </c>
      <c r="AK6" t="str" cm="1">
        <f t="array" aca="1" ref="AK6" ca="1">IF(ISBLANK($C6),"",IF(O6=0,INDIRECT(O$2&amp;"!F"&amp;$T6),""))</f>
        <v/>
      </c>
      <c r="AL6" t="str" cm="1">
        <f t="array" aca="1" ref="AL6" ca="1">IF(ISBLANK($C6),"",IF(P6=0,INDIRECT(P$2&amp;"!F"&amp;$T6),""))</f>
        <v/>
      </c>
      <c r="AM6" cm="1">
        <f t="array" aca="1" ref="AM6" ca="1">IF(ISBLANK($C6),"",IF(Q6=0,INDIRECT(Q$2&amp;"!F"&amp;$T6),""))</f>
        <v>15</v>
      </c>
      <c r="AN6" cm="1">
        <f t="array" aca="1" ref="AN6" ca="1">IF(ISBLANK($C6),"",IF(R6=0,INDIRECT(R$2&amp;"!F"&amp;$T6),""))</f>
        <v>3</v>
      </c>
      <c r="AO6" cm="1">
        <f t="array" aca="1" ref="AO6" ca="1">IF(ISBLANK($C6),"",IF(S6=0,INDIRECT(S$2&amp;"!F"&amp;$T6),""))</f>
        <v>23</v>
      </c>
      <c r="AP6">
        <f t="shared" ca="1" si="6"/>
        <v>12</v>
      </c>
      <c r="AQ6">
        <f t="shared" ca="1" si="7"/>
        <v>15</v>
      </c>
    </row>
    <row r="7" spans="1:43" ht="15.5" x14ac:dyDescent="0.35">
      <c r="A7" s="28">
        <v>43820</v>
      </c>
      <c r="B7" s="29" t="s">
        <v>14</v>
      </c>
      <c r="C7" s="29" t="s">
        <v>16</v>
      </c>
      <c r="D7" s="39"/>
      <c r="E7" s="41" cm="1">
        <f t="array" aca="1" ref="E7" ca="1">IF(ISBLANK($C7),"",IF(($C7=(INDIRECT(E$2&amp;"!E"&amp;$T7))),(INDIRECT(E$2&amp;"!F"&amp;$T7)),0))</f>
        <v>1</v>
      </c>
      <c r="F7" s="42" cm="1">
        <f t="array" aca="1" ref="F7" ca="1">IF(ISBLANK($C7),"",IF(($C7=(INDIRECT(F$2&amp;"!E"&amp;$T7))),(INDIRECT(F$2&amp;"!F"&amp;$T7)),0))</f>
        <v>3</v>
      </c>
      <c r="G7" s="42" cm="1">
        <f t="array" aca="1" ref="G7" ca="1">IF(ISBLANK($C7),"",IF(($C7=(INDIRECT(G$2&amp;"!E"&amp;$T7))),(INDIRECT(G$2&amp;"!F"&amp;$T7)),0))</f>
        <v>2</v>
      </c>
      <c r="H7" s="42" cm="1">
        <f t="array" aca="1" ref="H7" ca="1">IF(ISBLANK($C7),"",IF(($C7=(INDIRECT(H$2&amp;"!E"&amp;$T7))),(INDIRECT(H$2&amp;"!F"&amp;$T7)),0))</f>
        <v>1</v>
      </c>
      <c r="I7" s="42" cm="1">
        <f t="array" aca="1" ref="I7" ca="1">IF(ISBLANK($C7),"",IF(($C7=(INDIRECT(I$2&amp;"!E"&amp;$T7))),(INDIRECT(I$2&amp;"!F"&amp;$T7)),0))</f>
        <v>0</v>
      </c>
      <c r="J7" s="42" cm="1">
        <f t="array" aca="1" ref="J7" ca="1">IF(ISBLANK($C7),"",IF(($C7=(INDIRECT(J$2&amp;"!E"&amp;$T7))),(INDIRECT(J$2&amp;"!F"&amp;$T7)),0))</f>
        <v>0</v>
      </c>
      <c r="K7" s="42" cm="1">
        <f t="array" aca="1" ref="K7" ca="1">IF(ISBLANK($C7),"",IF(($C7=(INDIRECT(K$2&amp;"!E"&amp;$T7))),(INDIRECT(K$2&amp;"!F"&amp;$T7)),0))</f>
        <v>12</v>
      </c>
      <c r="L7" s="42" cm="1">
        <f t="array" aca="1" ref="L7" ca="1">IF(ISBLANK($C7),"",IF(($C7=(INDIRECT(L$2&amp;"!E"&amp;$T7))),(INDIRECT(L$2&amp;"!F"&amp;$T7)),0))</f>
        <v>17</v>
      </c>
      <c r="M7" s="42" cm="1">
        <f t="array" aca="1" ref="M7" ca="1">IF(ISBLANK($C7),"",IF(($C7=(INDIRECT(M$2&amp;"!E"&amp;$T7))),(INDIRECT(M$2&amp;"!F"&amp;$T7)),0))</f>
        <v>0</v>
      </c>
      <c r="N7" s="42" cm="1">
        <f t="array" aca="1" ref="N7" ca="1">IF(ISBLANK($C7),"",IF(($C7=(INDIRECT(N$2&amp;"!E"&amp;$T7))),(INDIRECT(N$2&amp;"!F"&amp;$T7)),0))</f>
        <v>2</v>
      </c>
      <c r="O7" s="42" cm="1">
        <f t="array" aca="1" ref="O7" ca="1">IF(ISBLANK($C7),"",IF(($C7=(INDIRECT(O$2&amp;"!E"&amp;$T7))),(INDIRECT(O$2&amp;"!F"&amp;$T7)),0))</f>
        <v>3</v>
      </c>
      <c r="P7" s="42" cm="1">
        <f t="array" aca="1" ref="P7" ca="1">IF(ISBLANK($C7),"",IF(($C7=(INDIRECT(P$2&amp;"!E"&amp;$T7))),(INDIRECT(P$2&amp;"!F"&amp;$T7)),0))</f>
        <v>33</v>
      </c>
      <c r="Q7" s="42" cm="1">
        <f t="array" aca="1" ref="Q7" ca="1">IF(ISBLANK($C7),"",IF(($C7=(INDIRECT(Q$2&amp;"!E"&amp;$T7))),(INDIRECT(Q$2&amp;"!F"&amp;$T7)),0))</f>
        <v>0</v>
      </c>
      <c r="R7" s="42" cm="1">
        <f t="array" aca="1" ref="R7" ca="1">IF(ISBLANK($C7),"",IF(($C7=(INDIRECT(R$2&amp;"!E"&amp;$T7))),(INDIRECT(R$2&amp;"!F"&amp;$T7)),0))</f>
        <v>0</v>
      </c>
      <c r="S7" s="43" cm="1">
        <f t="array" aca="1" ref="S7" ca="1">IF(ISBLANK($C7),"",IF(($C7=(INDIRECT(S$2&amp;"!E"&amp;$T7))),(INDIRECT(S$2&amp;"!F"&amp;$T7)),0))</f>
        <v>0</v>
      </c>
      <c r="T7" s="50">
        <f t="shared" si="8"/>
        <v>6</v>
      </c>
      <c r="U7" s="78">
        <f t="shared" ca="1" si="2"/>
        <v>9</v>
      </c>
      <c r="V7" s="80">
        <f t="shared" ca="1" si="3"/>
        <v>8.2222222222222214</v>
      </c>
      <c r="W7" s="79" t="s">
        <v>14</v>
      </c>
      <c r="X7" s="86">
        <f t="shared" ca="1" si="4"/>
        <v>6</v>
      </c>
      <c r="Y7" s="87">
        <f t="shared" ca="1" si="5"/>
        <v>7.166666666666667</v>
      </c>
      <c r="Z7" s="79" t="s">
        <v>14</v>
      </c>
      <c r="AA7" t="str" cm="1">
        <f t="array" aca="1" ref="AA7" ca="1">IF(ISBLANK($C7),"",IF(E7=0,INDIRECT(E$2&amp;"!F"&amp;$T7),""))</f>
        <v/>
      </c>
      <c r="AB7" t="str" cm="1">
        <f t="array" aca="1" ref="AB7" ca="1">IF(ISBLANK($C7),"",IF(F7=0,INDIRECT(F$2&amp;"!F"&amp;$T7),""))</f>
        <v/>
      </c>
      <c r="AC7" t="str" cm="1">
        <f t="array" aca="1" ref="AC7" ca="1">IF(ISBLANK($C7),"",IF(G7=0,INDIRECT(G$2&amp;"!F"&amp;$T7),""))</f>
        <v/>
      </c>
      <c r="AD7" t="str" cm="1">
        <f t="array" aca="1" ref="AD7" ca="1">IF(ISBLANK($C7),"",IF(H7=0,INDIRECT(H$2&amp;"!F"&amp;$T7),""))</f>
        <v/>
      </c>
      <c r="AE7" cm="1">
        <f t="array" aca="1" ref="AE7" ca="1">IF(ISBLANK($C7),"",IF(I7=0,INDIRECT(I$2&amp;"!F"&amp;$T7),""))</f>
        <v>1</v>
      </c>
      <c r="AF7" cm="1">
        <f t="array" aca="1" ref="AF7" ca="1">IF(ISBLANK($C7),"",IF(J7=0,INDIRECT(J$2&amp;"!F"&amp;$T7),""))</f>
        <v>16</v>
      </c>
      <c r="AG7" t="str" cm="1">
        <f t="array" aca="1" ref="AG7" ca="1">IF(ISBLANK($C7),"",IF(K7=0,INDIRECT(K$2&amp;"!F"&amp;$T7),""))</f>
        <v/>
      </c>
      <c r="AH7" t="str" cm="1">
        <f t="array" aca="1" ref="AH7" ca="1">IF(ISBLANK($C7),"",IF(L7=0,INDIRECT(L$2&amp;"!F"&amp;$T7),""))</f>
        <v/>
      </c>
      <c r="AI7" cm="1">
        <f t="array" aca="1" ref="AI7" ca="1">IF(ISBLANK($C7),"",IF(M7=0,INDIRECT(M$2&amp;"!F"&amp;$T7),""))</f>
        <v>1</v>
      </c>
      <c r="AJ7" t="str" cm="1">
        <f t="array" aca="1" ref="AJ7" ca="1">IF(ISBLANK($C7),"",IF(N7=0,INDIRECT(N$2&amp;"!F"&amp;$T7),""))</f>
        <v/>
      </c>
      <c r="AK7" t="str" cm="1">
        <f t="array" aca="1" ref="AK7" ca="1">IF(ISBLANK($C7),"",IF(O7=0,INDIRECT(O$2&amp;"!F"&amp;$T7),""))</f>
        <v/>
      </c>
      <c r="AL7" t="str" cm="1">
        <f t="array" aca="1" ref="AL7" ca="1">IF(ISBLANK($C7),"",IF(P7=0,INDIRECT(P$2&amp;"!F"&amp;$T7),""))</f>
        <v/>
      </c>
      <c r="AM7" cm="1">
        <f t="array" aca="1" ref="AM7" ca="1">IF(ISBLANK($C7),"",IF(Q7=0,INDIRECT(Q$2&amp;"!F"&amp;$T7),""))</f>
        <v>1</v>
      </c>
      <c r="AN7" cm="1">
        <f t="array" aca="1" ref="AN7" ca="1">IF(ISBLANK($C7),"",IF(R7=0,INDIRECT(R$2&amp;"!F"&amp;$T7),""))</f>
        <v>4</v>
      </c>
      <c r="AO7" cm="1">
        <f t="array" aca="1" ref="AO7" ca="1">IF(ISBLANK($C7),"",IF(S7=0,INDIRECT(S$2&amp;"!F"&amp;$T7),""))</f>
        <v>20</v>
      </c>
      <c r="AP7">
        <f t="shared" ca="1" si="6"/>
        <v>6</v>
      </c>
      <c r="AQ7">
        <f t="shared" ca="1" si="7"/>
        <v>15</v>
      </c>
    </row>
    <row r="8" spans="1:43" ht="15.5" x14ac:dyDescent="0.35">
      <c r="A8" s="28">
        <v>43820</v>
      </c>
      <c r="B8" s="29" t="s">
        <v>17</v>
      </c>
      <c r="C8" s="29" t="s">
        <v>18</v>
      </c>
      <c r="D8" s="39"/>
      <c r="E8" s="41" cm="1">
        <f t="array" aca="1" ref="E8" ca="1">IF(ISBLANK($C8),"",IF(($C8=(INDIRECT(E$2&amp;"!E"&amp;$T8))),(INDIRECT(E$2&amp;"!F"&amp;$T8)),0))</f>
        <v>25</v>
      </c>
      <c r="F8" s="42" cm="1">
        <f t="array" aca="1" ref="F8" ca="1">IF(ISBLANK($C8),"",IF(($C8=(INDIRECT(F$2&amp;"!E"&amp;$T8))),(INDIRECT(F$2&amp;"!F"&amp;$T8)),0))</f>
        <v>20</v>
      </c>
      <c r="G8" s="42" cm="1">
        <f t="array" aca="1" ref="G8" ca="1">IF(ISBLANK($C8),"",IF(($C8=(INDIRECT(G$2&amp;"!E"&amp;$T8))),(INDIRECT(G$2&amp;"!F"&amp;$T8)),0))</f>
        <v>0</v>
      </c>
      <c r="H8" s="42" cm="1">
        <f t="array" aca="1" ref="H8" ca="1">IF(ISBLANK($C8),"",IF(($C8=(INDIRECT(H$2&amp;"!E"&amp;$T8))),(INDIRECT(H$2&amp;"!F"&amp;$T8)),0))</f>
        <v>30</v>
      </c>
      <c r="I8" s="42" cm="1">
        <f t="array" aca="1" ref="I8" ca="1">IF(ISBLANK($C8),"",IF(($C8=(INDIRECT(I$2&amp;"!E"&amp;$T8))),(INDIRECT(I$2&amp;"!F"&amp;$T8)),0))</f>
        <v>0</v>
      </c>
      <c r="J8" s="42" cm="1">
        <f t="array" aca="1" ref="J8" ca="1">IF(ISBLANK($C8),"",IF(($C8=(INDIRECT(J$2&amp;"!E"&amp;$T8))),(INDIRECT(J$2&amp;"!F"&amp;$T8)),0))</f>
        <v>32</v>
      </c>
      <c r="K8" s="42" cm="1">
        <f t="array" aca="1" ref="K8" ca="1">IF(ISBLANK($C8),"",IF(($C8=(INDIRECT(K$2&amp;"!E"&amp;$T8))),(INDIRECT(K$2&amp;"!F"&amp;$T8)),0))</f>
        <v>0</v>
      </c>
      <c r="L8" s="42" cm="1">
        <f t="array" aca="1" ref="L8" ca="1">IF(ISBLANK($C8),"",IF(($C8=(INDIRECT(L$2&amp;"!E"&amp;$T8))),(INDIRECT(L$2&amp;"!F"&amp;$T8)),0))</f>
        <v>19</v>
      </c>
      <c r="M8" s="42" cm="1">
        <f t="array" aca="1" ref="M8" ca="1">IF(ISBLANK($C8),"",IF(($C8=(INDIRECT(M$2&amp;"!E"&amp;$T8))),(INDIRECT(M$2&amp;"!F"&amp;$T8)),0))</f>
        <v>38</v>
      </c>
      <c r="N8" s="42" cm="1">
        <f t="array" aca="1" ref="N8" ca="1">IF(ISBLANK($C8),"",IF(($C8=(INDIRECT(N$2&amp;"!E"&amp;$T8))),(INDIRECT(N$2&amp;"!F"&amp;$T8)),0))</f>
        <v>0</v>
      </c>
      <c r="O8" s="42" cm="1">
        <f t="array" aca="1" ref="O8" ca="1">IF(ISBLANK($C8),"",IF(($C8=(INDIRECT(O$2&amp;"!E"&amp;$T8))),(INDIRECT(O$2&amp;"!F"&amp;$T8)),0))</f>
        <v>0</v>
      </c>
      <c r="P8" s="42" cm="1">
        <f t="array" aca="1" ref="P8" ca="1">IF(ISBLANK($C8),"",IF(($C8=(INDIRECT(P$2&amp;"!E"&amp;$T8))),(INDIRECT(P$2&amp;"!F"&amp;$T8)),0))</f>
        <v>28</v>
      </c>
      <c r="Q8" s="42" cm="1">
        <f t="array" aca="1" ref="Q8" ca="1">IF(ISBLANK($C8),"",IF(($C8=(INDIRECT(Q$2&amp;"!E"&amp;$T8))),(INDIRECT(Q$2&amp;"!F"&amp;$T8)),0))</f>
        <v>0</v>
      </c>
      <c r="R8" s="42" cm="1">
        <f t="array" aca="1" ref="R8" ca="1">IF(ISBLANK($C8),"",IF(($C8=(INDIRECT(R$2&amp;"!E"&amp;$T8))),(INDIRECT(R$2&amp;"!F"&amp;$T8)),0))</f>
        <v>5</v>
      </c>
      <c r="S8" s="43" cm="1">
        <f t="array" aca="1" ref="S8" ca="1">IF(ISBLANK($C8),"",IF(($C8=(INDIRECT(S$2&amp;"!E"&amp;$T8))),(INDIRECT(S$2&amp;"!F"&amp;$T8)),0))</f>
        <v>26</v>
      </c>
      <c r="T8" s="50">
        <f t="shared" si="8"/>
        <v>7</v>
      </c>
      <c r="U8" s="78">
        <f t="shared" ca="1" si="2"/>
        <v>9</v>
      </c>
      <c r="V8" s="80">
        <f t="shared" ca="1" si="3"/>
        <v>24.777777777777779</v>
      </c>
      <c r="W8" s="79" t="s">
        <v>17</v>
      </c>
      <c r="X8" s="86">
        <f t="shared" ca="1" si="4"/>
        <v>6</v>
      </c>
      <c r="Y8" s="87">
        <f t="shared" ca="1" si="5"/>
        <v>12.5</v>
      </c>
      <c r="Z8" s="79" t="s">
        <v>17</v>
      </c>
      <c r="AA8" t="str" cm="1">
        <f t="array" aca="1" ref="AA8" ca="1">IF(ISBLANK($C8),"",IF(E8=0,INDIRECT(E$2&amp;"!F"&amp;$T8),""))</f>
        <v/>
      </c>
      <c r="AB8" t="str" cm="1">
        <f t="array" aca="1" ref="AB8" ca="1">IF(ISBLANK($C8),"",IF(F8=0,INDIRECT(F$2&amp;"!F"&amp;$T8),""))</f>
        <v/>
      </c>
      <c r="AC8" cm="1">
        <f t="array" aca="1" ref="AC8" ca="1">IF(ISBLANK($C8),"",IF(G8=0,INDIRECT(G$2&amp;"!F"&amp;$T8),""))</f>
        <v>8</v>
      </c>
      <c r="AD8" t="str" cm="1">
        <f t="array" aca="1" ref="AD8" ca="1">IF(ISBLANK($C8),"",IF(H8=0,INDIRECT(H$2&amp;"!F"&amp;$T8),""))</f>
        <v/>
      </c>
      <c r="AE8" cm="1">
        <f t="array" aca="1" ref="AE8" ca="1">IF(ISBLANK($C8),"",IF(I8=0,INDIRECT(I$2&amp;"!F"&amp;$T8),""))</f>
        <v>6</v>
      </c>
      <c r="AF8" t="str" cm="1">
        <f t="array" aca="1" ref="AF8" ca="1">IF(ISBLANK($C8),"",IF(J8=0,INDIRECT(J$2&amp;"!F"&amp;$T8),""))</f>
        <v/>
      </c>
      <c r="AG8" cm="1">
        <f t="array" aca="1" ref="AG8" ca="1">IF(ISBLANK($C8),"",IF(K8=0,INDIRECT(K$2&amp;"!F"&amp;$T8),""))</f>
        <v>10</v>
      </c>
      <c r="AH8" t="str" cm="1">
        <f t="array" aca="1" ref="AH8" ca="1">IF(ISBLANK($C8),"",IF(L8=0,INDIRECT(L$2&amp;"!F"&amp;$T8),""))</f>
        <v/>
      </c>
      <c r="AI8" t="str" cm="1">
        <f t="array" aca="1" ref="AI8" ca="1">IF(ISBLANK($C8),"",IF(M8=0,INDIRECT(M$2&amp;"!F"&amp;$T8),""))</f>
        <v/>
      </c>
      <c r="AJ8" cm="1">
        <f t="array" aca="1" ref="AJ8" ca="1">IF(ISBLANK($C8),"",IF(N8=0,INDIRECT(N$2&amp;"!F"&amp;$T8),""))</f>
        <v>5</v>
      </c>
      <c r="AK8" cm="1">
        <f t="array" aca="1" ref="AK8" ca="1">IF(ISBLANK($C8),"",IF(O8=0,INDIRECT(O$2&amp;"!F"&amp;$T8),""))</f>
        <v>22</v>
      </c>
      <c r="AL8" t="str" cm="1">
        <f t="array" aca="1" ref="AL8" ca="1">IF(ISBLANK($C8),"",IF(P8=0,INDIRECT(P$2&amp;"!F"&amp;$T8),""))</f>
        <v/>
      </c>
      <c r="AM8" cm="1">
        <f t="array" aca="1" ref="AM8" ca="1">IF(ISBLANK($C8),"",IF(Q8=0,INDIRECT(Q$2&amp;"!F"&amp;$T8),""))</f>
        <v>24</v>
      </c>
      <c r="AN8" t="str" cm="1">
        <f t="array" aca="1" ref="AN8" ca="1">IF(ISBLANK($C8),"",IF(R8=0,INDIRECT(R$2&amp;"!F"&amp;$T8),""))</f>
        <v/>
      </c>
      <c r="AO8" t="str" cm="1">
        <f t="array" aca="1" ref="AO8" ca="1">IF(ISBLANK($C8),"",IF(S8=0,INDIRECT(S$2&amp;"!F"&amp;$T8),""))</f>
        <v/>
      </c>
      <c r="AP8">
        <f t="shared" ca="1" si="6"/>
        <v>6</v>
      </c>
      <c r="AQ8">
        <f t="shared" ca="1" si="7"/>
        <v>15</v>
      </c>
    </row>
    <row r="9" spans="1:43" ht="15.5" x14ac:dyDescent="0.35">
      <c r="A9" s="28">
        <v>43820</v>
      </c>
      <c r="B9" s="29" t="s">
        <v>20</v>
      </c>
      <c r="C9" s="29" t="s">
        <v>22</v>
      </c>
      <c r="D9" s="39"/>
      <c r="E9" s="41" cm="1">
        <f t="array" aca="1" ref="E9" ca="1">IF(ISBLANK($C9),"",IF(($C9=(INDIRECT(E$2&amp;"!E"&amp;$T9))),(INDIRECT(E$2&amp;"!F"&amp;$T9)),0))</f>
        <v>3</v>
      </c>
      <c r="F9" s="42" cm="1">
        <f t="array" aca="1" ref="F9" ca="1">IF(ISBLANK($C9),"",IF(($C9=(INDIRECT(F$2&amp;"!E"&amp;$T9))),(INDIRECT(F$2&amp;"!F"&amp;$T9)),0))</f>
        <v>0</v>
      </c>
      <c r="G9" s="42" cm="1">
        <f t="array" aca="1" ref="G9" ca="1">IF(ISBLANK($C9),"",IF(($C9=(INDIRECT(G$2&amp;"!E"&amp;$T9))),(INDIRECT(G$2&amp;"!F"&amp;$T9)),0))</f>
        <v>0</v>
      </c>
      <c r="H9" s="42" cm="1">
        <f t="array" aca="1" ref="H9" ca="1">IF(ISBLANK($C9),"",IF(($C9=(INDIRECT(H$2&amp;"!E"&amp;$T9))),(INDIRECT(H$2&amp;"!F"&amp;$T9)),0))</f>
        <v>0</v>
      </c>
      <c r="I9" s="42" cm="1">
        <f t="array" aca="1" ref="I9" ca="1">IF(ISBLANK($C9),"",IF(($C9=(INDIRECT(I$2&amp;"!E"&amp;$T9))),(INDIRECT(I$2&amp;"!F"&amp;$T9)),0))</f>
        <v>0</v>
      </c>
      <c r="J9" s="42" cm="1">
        <f t="array" aca="1" ref="J9" ca="1">IF(ISBLANK($C9),"",IF(($C9=(INDIRECT(J$2&amp;"!E"&amp;$T9))),(INDIRECT(J$2&amp;"!F"&amp;$T9)),0))</f>
        <v>0</v>
      </c>
      <c r="K9" s="42" cm="1">
        <f t="array" aca="1" ref="K9" ca="1">IF(ISBLANK($C9),"",IF(($C9=(INDIRECT(K$2&amp;"!E"&amp;$T9))),(INDIRECT(K$2&amp;"!F"&amp;$T9)),0))</f>
        <v>0</v>
      </c>
      <c r="L9" s="42" cm="1">
        <f t="array" aca="1" ref="L9" ca="1">IF(ISBLANK($C9),"",IF(($C9=(INDIRECT(L$2&amp;"!E"&amp;$T9))),(INDIRECT(L$2&amp;"!F"&amp;$T9)),0))</f>
        <v>0</v>
      </c>
      <c r="M9" s="42" cm="1">
        <f t="array" aca="1" ref="M9" ca="1">IF(ISBLANK($C9),"",IF(($C9=(INDIRECT(M$2&amp;"!E"&amp;$T9))),(INDIRECT(M$2&amp;"!F"&amp;$T9)),0))</f>
        <v>0</v>
      </c>
      <c r="N9" s="42" cm="1">
        <f t="array" aca="1" ref="N9" ca="1">IF(ISBLANK($C9),"",IF(($C9=(INDIRECT(N$2&amp;"!E"&amp;$T9))),(INDIRECT(N$2&amp;"!F"&amp;$T9)),0))</f>
        <v>0</v>
      </c>
      <c r="O9" s="42" cm="1">
        <f t="array" aca="1" ref="O9" ca="1">IF(ISBLANK($C9),"",IF(($C9=(INDIRECT(O$2&amp;"!E"&amp;$T9))),(INDIRECT(O$2&amp;"!F"&amp;$T9)),0))</f>
        <v>0</v>
      </c>
      <c r="P9" s="42" cm="1">
        <f t="array" aca="1" ref="P9" ca="1">IF(ISBLANK($C9),"",IF(($C9=(INDIRECT(P$2&amp;"!E"&amp;$T9))),(INDIRECT(P$2&amp;"!F"&amp;$T9)),0))</f>
        <v>0</v>
      </c>
      <c r="Q9" s="42" cm="1">
        <f t="array" aca="1" ref="Q9" ca="1">IF(ISBLANK($C9),"",IF(($C9=(INDIRECT(Q$2&amp;"!E"&amp;$T9))),(INDIRECT(Q$2&amp;"!F"&amp;$T9)),0))</f>
        <v>6</v>
      </c>
      <c r="R9" s="42" cm="1">
        <f t="array" aca="1" ref="R9" ca="1">IF(ISBLANK($C9),"",IF(($C9=(INDIRECT(R$2&amp;"!E"&amp;$T9))),(INDIRECT(R$2&amp;"!F"&amp;$T9)),0))</f>
        <v>6</v>
      </c>
      <c r="S9" s="43" cm="1">
        <f t="array" aca="1" ref="S9" ca="1">IF(ISBLANK($C9),"",IF(($C9=(INDIRECT(S$2&amp;"!E"&amp;$T9))),(INDIRECT(S$2&amp;"!F"&amp;$T9)),0))</f>
        <v>0</v>
      </c>
      <c r="T9" s="50">
        <f t="shared" si="8"/>
        <v>8</v>
      </c>
      <c r="U9" s="78">
        <f t="shared" ca="1" si="2"/>
        <v>3</v>
      </c>
      <c r="V9" s="80">
        <f t="shared" ca="1" si="3"/>
        <v>5</v>
      </c>
      <c r="W9" s="79" t="s">
        <v>20</v>
      </c>
      <c r="X9" s="86">
        <f t="shared" ca="1" si="4"/>
        <v>12</v>
      </c>
      <c r="Y9" s="87">
        <f t="shared" ca="1" si="5"/>
        <v>17.333333333333332</v>
      </c>
      <c r="Z9" s="79" t="s">
        <v>20</v>
      </c>
      <c r="AA9" t="str" cm="1">
        <f t="array" aca="1" ref="AA9" ca="1">IF(ISBLANK($C9),"",IF(E9=0,INDIRECT(E$2&amp;"!F"&amp;$T9),""))</f>
        <v/>
      </c>
      <c r="AB9" cm="1">
        <f t="array" aca="1" ref="AB9" ca="1">IF(ISBLANK($C9),"",IF(F9=0,INDIRECT(F$2&amp;"!F"&amp;$T9),""))</f>
        <v>21</v>
      </c>
      <c r="AC9" cm="1">
        <f t="array" aca="1" ref="AC9" ca="1">IF(ISBLANK($C9),"",IF(G9=0,INDIRECT(G$2&amp;"!F"&amp;$T9),""))</f>
        <v>7</v>
      </c>
      <c r="AD9" cm="1">
        <f t="array" aca="1" ref="AD9" ca="1">IF(ISBLANK($C9),"",IF(H9=0,INDIRECT(H$2&amp;"!F"&amp;$T9),""))</f>
        <v>10</v>
      </c>
      <c r="AE9" cm="1">
        <f t="array" aca="1" ref="AE9" ca="1">IF(ISBLANK($C9),"",IF(I9=0,INDIRECT(I$2&amp;"!F"&amp;$T9),""))</f>
        <v>10</v>
      </c>
      <c r="AF9" cm="1">
        <f t="array" aca="1" ref="AF9" ca="1">IF(ISBLANK($C9),"",IF(J9=0,INDIRECT(J$2&amp;"!F"&amp;$T9),""))</f>
        <v>19</v>
      </c>
      <c r="AG9" cm="1">
        <f t="array" aca="1" ref="AG9" ca="1">IF(ISBLANK($C9),"",IF(K9=0,INDIRECT(K$2&amp;"!F"&amp;$T9),""))</f>
        <v>24</v>
      </c>
      <c r="AH9" cm="1">
        <f t="array" aca="1" ref="AH9" ca="1">IF(ISBLANK($C9),"",IF(L9=0,INDIRECT(L$2&amp;"!F"&amp;$T9),""))</f>
        <v>20</v>
      </c>
      <c r="AI9" cm="1">
        <f t="array" aca="1" ref="AI9" ca="1">IF(ISBLANK($C9),"",IF(M9=0,INDIRECT(M$2&amp;"!F"&amp;$T9),""))</f>
        <v>19</v>
      </c>
      <c r="AJ9" cm="1">
        <f t="array" aca="1" ref="AJ9" ca="1">IF(ISBLANK($C9),"",IF(N9=0,INDIRECT(N$2&amp;"!F"&amp;$T9),""))</f>
        <v>7</v>
      </c>
      <c r="AK9" cm="1">
        <f t="array" aca="1" ref="AK9" ca="1">IF(ISBLANK($C9),"",IF(O9=0,INDIRECT(O$2&amp;"!F"&amp;$T9),""))</f>
        <v>28</v>
      </c>
      <c r="AL9" cm="1">
        <f t="array" aca="1" ref="AL9" ca="1">IF(ISBLANK($C9),"",IF(P9=0,INDIRECT(P$2&amp;"!F"&amp;$T9),""))</f>
        <v>32</v>
      </c>
      <c r="AM9" t="str" cm="1">
        <f t="array" aca="1" ref="AM9" ca="1">IF(ISBLANK($C9),"",IF(Q9=0,INDIRECT(Q$2&amp;"!F"&amp;$T9),""))</f>
        <v/>
      </c>
      <c r="AN9" t="str" cm="1">
        <f t="array" aca="1" ref="AN9" ca="1">IF(ISBLANK($C9),"",IF(R9=0,INDIRECT(R$2&amp;"!F"&amp;$T9),""))</f>
        <v/>
      </c>
      <c r="AO9" cm="1">
        <f t="array" aca="1" ref="AO9" ca="1">IF(ISBLANK($C9),"",IF(S9=0,INDIRECT(S$2&amp;"!F"&amp;$T9),""))</f>
        <v>11</v>
      </c>
      <c r="AP9">
        <f t="shared" ca="1" si="6"/>
        <v>12</v>
      </c>
      <c r="AQ9">
        <f t="shared" ca="1" si="7"/>
        <v>15</v>
      </c>
    </row>
    <row r="10" spans="1:43" ht="15.5" x14ac:dyDescent="0.35">
      <c r="A10" s="28">
        <v>43820</v>
      </c>
      <c r="B10" s="29" t="s">
        <v>23</v>
      </c>
      <c r="C10" s="29" t="s">
        <v>25</v>
      </c>
      <c r="D10" s="39"/>
      <c r="E10" s="41" cm="1">
        <f t="array" aca="1" ref="E10" ca="1">IF(ISBLANK($C10),"",IF(($C10=(INDIRECT(E$2&amp;"!E"&amp;$T10))),(INDIRECT(E$2&amp;"!F"&amp;$T10)),0))</f>
        <v>0</v>
      </c>
      <c r="F10" s="42" cm="1">
        <f t="array" aca="1" ref="F10" ca="1">IF(ISBLANK($C10),"",IF(($C10=(INDIRECT(F$2&amp;"!E"&amp;$T10))),(INDIRECT(F$2&amp;"!F"&amp;$T10)),0))</f>
        <v>13</v>
      </c>
      <c r="G10" s="42" cm="1">
        <f t="array" aca="1" ref="G10" ca="1">IF(ISBLANK($C10),"",IF(($C10=(INDIRECT(G$2&amp;"!E"&amp;$T10))),(INDIRECT(G$2&amp;"!F"&amp;$T10)),0))</f>
        <v>0</v>
      </c>
      <c r="H10" s="42" cm="1">
        <f t="array" aca="1" ref="H10" ca="1">IF(ISBLANK($C10),"",IF(($C10=(INDIRECT(H$2&amp;"!E"&amp;$T10))),(INDIRECT(H$2&amp;"!F"&amp;$T10)),0))</f>
        <v>11</v>
      </c>
      <c r="I10" s="42" cm="1">
        <f t="array" aca="1" ref="I10" ca="1">IF(ISBLANK($C10),"",IF(($C10=(INDIRECT(I$2&amp;"!E"&amp;$T10))),(INDIRECT(I$2&amp;"!F"&amp;$T10)),0))</f>
        <v>0</v>
      </c>
      <c r="J10" s="42" cm="1">
        <f t="array" aca="1" ref="J10" ca="1">IF(ISBLANK($C10),"",IF(($C10=(INDIRECT(J$2&amp;"!E"&amp;$T10))),(INDIRECT(J$2&amp;"!F"&amp;$T10)),0))</f>
        <v>0</v>
      </c>
      <c r="K10" s="42" cm="1">
        <f t="array" aca="1" ref="K10" ca="1">IF(ISBLANK($C10),"",IF(($C10=(INDIRECT(K$2&amp;"!E"&amp;$T10))),(INDIRECT(K$2&amp;"!F"&amp;$T10)),0))</f>
        <v>0</v>
      </c>
      <c r="L10" s="42" cm="1">
        <f t="array" aca="1" ref="L10" ca="1">IF(ISBLANK($C10),"",IF(($C10=(INDIRECT(L$2&amp;"!E"&amp;$T10))),(INDIRECT(L$2&amp;"!F"&amp;$T10)),0))</f>
        <v>0</v>
      </c>
      <c r="M10" s="42" cm="1">
        <f t="array" aca="1" ref="M10" ca="1">IF(ISBLANK($C10),"",IF(($C10=(INDIRECT(M$2&amp;"!E"&amp;$T10))),(INDIRECT(M$2&amp;"!F"&amp;$T10)),0))</f>
        <v>0</v>
      </c>
      <c r="N10" s="42" cm="1">
        <f t="array" aca="1" ref="N10" ca="1">IF(ISBLANK($C10),"",IF(($C10=(INDIRECT(N$2&amp;"!E"&amp;$T10))),(INDIRECT(N$2&amp;"!F"&amp;$T10)),0))</f>
        <v>0</v>
      </c>
      <c r="O10" s="42" cm="1">
        <f t="array" aca="1" ref="O10" ca="1">IF(ISBLANK($C10),"",IF(($C10=(INDIRECT(O$2&amp;"!E"&amp;$T10))),(INDIRECT(O$2&amp;"!F"&amp;$T10)),0))</f>
        <v>0</v>
      </c>
      <c r="P10" s="42" cm="1">
        <f t="array" aca="1" ref="P10" ca="1">IF(ISBLANK($C10),"",IF(($C10=(INDIRECT(P$2&amp;"!E"&amp;$T10))),(INDIRECT(P$2&amp;"!F"&amp;$T10)),0))</f>
        <v>0</v>
      </c>
      <c r="Q10" s="42" cm="1">
        <f t="array" aca="1" ref="Q10" ca="1">IF(ISBLANK($C10),"",IF(($C10=(INDIRECT(Q$2&amp;"!E"&amp;$T10))),(INDIRECT(Q$2&amp;"!F"&amp;$T10)),0))</f>
        <v>0</v>
      </c>
      <c r="R10" s="42" cm="1">
        <f t="array" aca="1" ref="R10" ca="1">IF(ISBLANK($C10),"",IF(($C10=(INDIRECT(R$2&amp;"!E"&amp;$T10))),(INDIRECT(R$2&amp;"!F"&amp;$T10)),0))</f>
        <v>0</v>
      </c>
      <c r="S10" s="43" cm="1">
        <f t="array" aca="1" ref="S10" ca="1">IF(ISBLANK($C10),"",IF(($C10=(INDIRECT(S$2&amp;"!E"&amp;$T10))),(INDIRECT(S$2&amp;"!F"&amp;$T10)),0))</f>
        <v>0</v>
      </c>
      <c r="T10" s="50">
        <f t="shared" si="8"/>
        <v>9</v>
      </c>
      <c r="U10" s="78">
        <f t="shared" ca="1" si="2"/>
        <v>2</v>
      </c>
      <c r="V10" s="80">
        <f t="shared" ca="1" si="3"/>
        <v>12</v>
      </c>
      <c r="W10" s="79" t="s">
        <v>23</v>
      </c>
      <c r="X10" s="86">
        <f t="shared" ca="1" si="4"/>
        <v>13</v>
      </c>
      <c r="Y10" s="87">
        <f t="shared" ca="1" si="5"/>
        <v>21.46153846153846</v>
      </c>
      <c r="Z10" s="79" t="s">
        <v>23</v>
      </c>
      <c r="AA10" cm="1">
        <f t="array" aca="1" ref="AA10" ca="1">IF(ISBLANK($C10),"",IF(E10=0,INDIRECT(E$2&amp;"!F"&amp;$T10),""))</f>
        <v>31</v>
      </c>
      <c r="AB10" t="str" cm="1">
        <f t="array" aca="1" ref="AB10" ca="1">IF(ISBLANK($C10),"",IF(F10=0,INDIRECT(F$2&amp;"!F"&amp;$T10),""))</f>
        <v/>
      </c>
      <c r="AC10" cm="1">
        <f t="array" aca="1" ref="AC10" ca="1">IF(ISBLANK($C10),"",IF(G10=0,INDIRECT(G$2&amp;"!F"&amp;$T10),""))</f>
        <v>22</v>
      </c>
      <c r="AD10" t="str" cm="1">
        <f t="array" aca="1" ref="AD10" ca="1">IF(ISBLANK($C10),"",IF(H10=0,INDIRECT(H$2&amp;"!F"&amp;$T10),""))</f>
        <v/>
      </c>
      <c r="AE10" cm="1">
        <f t="array" aca="1" ref="AE10" ca="1">IF(ISBLANK($C10),"",IF(I10=0,INDIRECT(I$2&amp;"!F"&amp;$T10),""))</f>
        <v>29</v>
      </c>
      <c r="AF10" cm="1">
        <f t="array" aca="1" ref="AF10" ca="1">IF(ISBLANK($C10),"",IF(J10=0,INDIRECT(J$2&amp;"!F"&amp;$T10),""))</f>
        <v>29</v>
      </c>
      <c r="AG10" cm="1">
        <f t="array" aca="1" ref="AG10" ca="1">IF(ISBLANK($C10),"",IF(K10=0,INDIRECT(K$2&amp;"!F"&amp;$T10),""))</f>
        <v>19</v>
      </c>
      <c r="AH10" cm="1">
        <f t="array" aca="1" ref="AH10" ca="1">IF(ISBLANK($C10),"",IF(L10=0,INDIRECT(L$2&amp;"!F"&amp;$T10),""))</f>
        <v>22</v>
      </c>
      <c r="AI10" cm="1">
        <f t="array" aca="1" ref="AI10" ca="1">IF(ISBLANK($C10),"",IF(M10=0,INDIRECT(M$2&amp;"!F"&amp;$T10),""))</f>
        <v>33</v>
      </c>
      <c r="AJ10" cm="1">
        <f t="array" aca="1" ref="AJ10" ca="1">IF(ISBLANK($C10),"",IF(N10=0,INDIRECT(N$2&amp;"!F"&amp;$T10),""))</f>
        <v>20</v>
      </c>
      <c r="AK10" cm="1">
        <f t="array" aca="1" ref="AK10" ca="1">IF(ISBLANK($C10),"",IF(O10=0,INDIRECT(O$2&amp;"!F"&amp;$T10),""))</f>
        <v>4</v>
      </c>
      <c r="AL10" cm="1">
        <f t="array" aca="1" ref="AL10" ca="1">IF(ISBLANK($C10),"",IF(P10=0,INDIRECT(P$2&amp;"!F"&amp;$T10),""))</f>
        <v>30</v>
      </c>
      <c r="AM10" cm="1">
        <f t="array" aca="1" ref="AM10" ca="1">IF(ISBLANK($C10),"",IF(Q10=0,INDIRECT(Q$2&amp;"!F"&amp;$T10),""))</f>
        <v>7</v>
      </c>
      <c r="AN10" cm="1">
        <f t="array" aca="1" ref="AN10" ca="1">IF(ISBLANK($C10),"",IF(R10=0,INDIRECT(R$2&amp;"!F"&amp;$T10),""))</f>
        <v>15</v>
      </c>
      <c r="AO10" cm="1">
        <f t="array" aca="1" ref="AO10" ca="1">IF(ISBLANK($C10),"",IF(S10=0,INDIRECT(S$2&amp;"!F"&amp;$T10),""))</f>
        <v>18</v>
      </c>
      <c r="AP10">
        <f t="shared" ca="1" si="6"/>
        <v>13</v>
      </c>
      <c r="AQ10">
        <f t="shared" ca="1" si="7"/>
        <v>15</v>
      </c>
    </row>
    <row r="11" spans="1:43" ht="15.5" x14ac:dyDescent="0.35">
      <c r="A11" s="28">
        <v>43820</v>
      </c>
      <c r="B11" s="29" t="s">
        <v>26</v>
      </c>
      <c r="C11" s="29" t="s">
        <v>28</v>
      </c>
      <c r="D11" s="39"/>
      <c r="E11" s="41" cm="1">
        <f t="array" aca="1" ref="E11" ca="1">IF(ISBLANK($C11),"",IF(($C11=(INDIRECT(E$2&amp;"!E"&amp;$T11))),(INDIRECT(E$2&amp;"!F"&amp;$T11)),0))</f>
        <v>0</v>
      </c>
      <c r="F11" s="42" cm="1">
        <f t="array" aca="1" ref="F11" ca="1">IF(ISBLANK($C11),"",IF(($C11=(INDIRECT(F$2&amp;"!E"&amp;$T11))),(INDIRECT(F$2&amp;"!F"&amp;$T11)),0))</f>
        <v>4</v>
      </c>
      <c r="G11" s="42" cm="1">
        <f t="array" aca="1" ref="G11" ca="1">IF(ISBLANK($C11),"",IF(($C11=(INDIRECT(G$2&amp;"!E"&amp;$T11))),(INDIRECT(G$2&amp;"!F"&amp;$T11)),0))</f>
        <v>0</v>
      </c>
      <c r="H11" s="42" cm="1">
        <f t="array" aca="1" ref="H11" ca="1">IF(ISBLANK($C11),"",IF(($C11=(INDIRECT(H$2&amp;"!E"&amp;$T11))),(INDIRECT(H$2&amp;"!F"&amp;$T11)),0))</f>
        <v>12</v>
      </c>
      <c r="I11" s="42" cm="1">
        <f t="array" aca="1" ref="I11" ca="1">IF(ISBLANK($C11),"",IF(($C11=(INDIRECT(I$2&amp;"!E"&amp;$T11))),(INDIRECT(I$2&amp;"!F"&amp;$T11)),0))</f>
        <v>12</v>
      </c>
      <c r="J11" s="42" cm="1">
        <f t="array" aca="1" ref="J11" ca="1">IF(ISBLANK($C11),"",IF(($C11=(INDIRECT(J$2&amp;"!E"&amp;$T11))),(INDIRECT(J$2&amp;"!F"&amp;$T11)),0))</f>
        <v>4</v>
      </c>
      <c r="K11" s="42" cm="1">
        <f t="array" aca="1" ref="K11" ca="1">IF(ISBLANK($C11),"",IF(($C11=(INDIRECT(K$2&amp;"!E"&amp;$T11))),(INDIRECT(K$2&amp;"!F"&amp;$T11)),0))</f>
        <v>28</v>
      </c>
      <c r="L11" s="42" cm="1">
        <f t="array" aca="1" ref="L11" ca="1">IF(ISBLANK($C11),"",IF(($C11=(INDIRECT(L$2&amp;"!E"&amp;$T11))),(INDIRECT(L$2&amp;"!F"&amp;$T11)),0))</f>
        <v>5</v>
      </c>
      <c r="M11" s="42" cm="1">
        <f t="array" aca="1" ref="M11" ca="1">IF(ISBLANK($C11),"",IF(($C11=(INDIRECT(M$2&amp;"!E"&amp;$T11))),(INDIRECT(M$2&amp;"!F"&amp;$T11)),0))</f>
        <v>16</v>
      </c>
      <c r="N11" s="42" cm="1">
        <f t="array" aca="1" ref="N11" ca="1">IF(ISBLANK($C11),"",IF(($C11=(INDIRECT(N$2&amp;"!E"&amp;$T11))),(INDIRECT(N$2&amp;"!F"&amp;$T11)),0))</f>
        <v>10</v>
      </c>
      <c r="O11" s="42" cm="1">
        <f t="array" aca="1" ref="O11" ca="1">IF(ISBLANK($C11),"",IF(($C11=(INDIRECT(O$2&amp;"!E"&amp;$T11))),(INDIRECT(O$2&amp;"!F"&amp;$T11)),0))</f>
        <v>29</v>
      </c>
      <c r="P11" s="42" cm="1">
        <f t="array" aca="1" ref="P11" ca="1">IF(ISBLANK($C11),"",IF(($C11=(INDIRECT(P$2&amp;"!E"&amp;$T11))),(INDIRECT(P$2&amp;"!F"&amp;$T11)),0))</f>
        <v>0</v>
      </c>
      <c r="Q11" s="42" cm="1">
        <f t="array" aca="1" ref="Q11" ca="1">IF(ISBLANK($C11),"",IF(($C11=(INDIRECT(Q$2&amp;"!E"&amp;$T11))),(INDIRECT(Q$2&amp;"!F"&amp;$T11)),0))</f>
        <v>0</v>
      </c>
      <c r="R11" s="42" cm="1">
        <f t="array" aca="1" ref="R11" ca="1">IF(ISBLANK($C11),"",IF(($C11=(INDIRECT(R$2&amp;"!E"&amp;$T11))),(INDIRECT(R$2&amp;"!F"&amp;$T11)),0))</f>
        <v>7</v>
      </c>
      <c r="S11" s="43" cm="1">
        <f t="array" aca="1" ref="S11" ca="1">IF(ISBLANK($C11),"",IF(($C11=(INDIRECT(S$2&amp;"!E"&amp;$T11))),(INDIRECT(S$2&amp;"!F"&amp;$T11)),0))</f>
        <v>17</v>
      </c>
      <c r="T11" s="50">
        <f t="shared" si="8"/>
        <v>10</v>
      </c>
      <c r="U11" s="78">
        <f t="shared" ca="1" si="2"/>
        <v>11</v>
      </c>
      <c r="V11" s="80">
        <f t="shared" ca="1" si="3"/>
        <v>13.090909090909092</v>
      </c>
      <c r="W11" s="79" t="s">
        <v>26</v>
      </c>
      <c r="X11" s="86">
        <f t="shared" ca="1" si="4"/>
        <v>4</v>
      </c>
      <c r="Y11" s="87">
        <f t="shared" ca="1" si="5"/>
        <v>12.5</v>
      </c>
      <c r="Z11" s="79" t="s">
        <v>26</v>
      </c>
      <c r="AA11" cm="1">
        <f t="array" aca="1" ref="AA11" ca="1">IF(ISBLANK($C11),"",IF(E11=0,INDIRECT(E$2&amp;"!F"&amp;$T11),""))</f>
        <v>4</v>
      </c>
      <c r="AB11" t="str" cm="1">
        <f t="array" aca="1" ref="AB11" ca="1">IF(ISBLANK($C11),"",IF(F11=0,INDIRECT(F$2&amp;"!F"&amp;$T11),""))</f>
        <v/>
      </c>
      <c r="AC11" cm="1">
        <f t="array" aca="1" ref="AC11" ca="1">IF(ISBLANK($C11),"",IF(G11=0,INDIRECT(G$2&amp;"!F"&amp;$T11),""))</f>
        <v>5</v>
      </c>
      <c r="AD11" t="str" cm="1">
        <f t="array" aca="1" ref="AD11" ca="1">IF(ISBLANK($C11),"",IF(H11=0,INDIRECT(H$2&amp;"!F"&amp;$T11),""))</f>
        <v/>
      </c>
      <c r="AE11" t="str" cm="1">
        <f t="array" aca="1" ref="AE11" ca="1">IF(ISBLANK($C11),"",IF(I11=0,INDIRECT(I$2&amp;"!F"&amp;$T11),""))</f>
        <v/>
      </c>
      <c r="AF11" t="str" cm="1">
        <f t="array" aca="1" ref="AF11" ca="1">IF(ISBLANK($C11),"",IF(J11=0,INDIRECT(J$2&amp;"!F"&amp;$T11),""))</f>
        <v/>
      </c>
      <c r="AG11" t="str" cm="1">
        <f t="array" aca="1" ref="AG11" ca="1">IF(ISBLANK($C11),"",IF(K11=0,INDIRECT(K$2&amp;"!F"&amp;$T11),""))</f>
        <v/>
      </c>
      <c r="AH11" t="str" cm="1">
        <f t="array" aca="1" ref="AH11" ca="1">IF(ISBLANK($C11),"",IF(L11=0,INDIRECT(L$2&amp;"!F"&amp;$T11),""))</f>
        <v/>
      </c>
      <c r="AI11" t="str" cm="1">
        <f t="array" aca="1" ref="AI11" ca="1">IF(ISBLANK($C11),"",IF(M11=0,INDIRECT(M$2&amp;"!F"&amp;$T11),""))</f>
        <v/>
      </c>
      <c r="AJ11" t="str" cm="1">
        <f t="array" aca="1" ref="AJ11" ca="1">IF(ISBLANK($C11),"",IF(N11=0,INDIRECT(N$2&amp;"!F"&amp;$T11),""))</f>
        <v/>
      </c>
      <c r="AK11" t="str" cm="1">
        <f t="array" aca="1" ref="AK11" ca="1">IF(ISBLANK($C11),"",IF(O11=0,INDIRECT(O$2&amp;"!F"&amp;$T11),""))</f>
        <v/>
      </c>
      <c r="AL11" cm="1">
        <f t="array" aca="1" ref="AL11" ca="1">IF(ISBLANK($C11),"",IF(P11=0,INDIRECT(P$2&amp;"!F"&amp;$T11),""))</f>
        <v>29</v>
      </c>
      <c r="AM11" cm="1">
        <f t="array" aca="1" ref="AM11" ca="1">IF(ISBLANK($C11),"",IF(Q11=0,INDIRECT(Q$2&amp;"!F"&amp;$T11),""))</f>
        <v>12</v>
      </c>
      <c r="AN11" t="str" cm="1">
        <f t="array" aca="1" ref="AN11" ca="1">IF(ISBLANK($C11),"",IF(R11=0,INDIRECT(R$2&amp;"!F"&amp;$T11),""))</f>
        <v/>
      </c>
      <c r="AO11" t="str" cm="1">
        <f t="array" aca="1" ref="AO11" ca="1">IF(ISBLANK($C11),"",IF(S11=0,INDIRECT(S$2&amp;"!F"&amp;$T11),""))</f>
        <v/>
      </c>
      <c r="AP11">
        <f t="shared" ca="1" si="6"/>
        <v>4</v>
      </c>
      <c r="AQ11">
        <f t="shared" ca="1" si="7"/>
        <v>15</v>
      </c>
    </row>
    <row r="12" spans="1:43" ht="15.5" x14ac:dyDescent="0.35">
      <c r="A12" s="28">
        <v>43820</v>
      </c>
      <c r="B12" s="29" t="s">
        <v>29</v>
      </c>
      <c r="C12" s="29" t="s">
        <v>30</v>
      </c>
      <c r="D12" s="39"/>
      <c r="E12" s="41" cm="1">
        <f t="array" aca="1" ref="E12" ca="1">IF(ISBLANK($C12),"",IF(($C12=(INDIRECT(E$2&amp;"!E"&amp;$T12))),(INDIRECT(E$2&amp;"!F"&amp;$T12)),0))</f>
        <v>21</v>
      </c>
      <c r="F12" s="42" cm="1">
        <f t="array" aca="1" ref="F12" ca="1">IF(ISBLANK($C12),"",IF(($C12=(INDIRECT(F$2&amp;"!E"&amp;$T12))),(INDIRECT(F$2&amp;"!F"&amp;$T12)),0))</f>
        <v>14</v>
      </c>
      <c r="G12" s="42" cm="1">
        <f t="array" aca="1" ref="G12" ca="1">IF(ISBLANK($C12),"",IF(($C12=(INDIRECT(G$2&amp;"!E"&amp;$T12))),(INDIRECT(G$2&amp;"!F"&amp;$T12)),0))</f>
        <v>16</v>
      </c>
      <c r="H12" s="42" cm="1">
        <f t="array" aca="1" ref="H12" ca="1">IF(ISBLANK($C12),"",IF(($C12=(INDIRECT(H$2&amp;"!E"&amp;$T12))),(INDIRECT(H$2&amp;"!F"&amp;$T12)),0))</f>
        <v>0</v>
      </c>
      <c r="I12" s="42" cm="1">
        <f t="array" aca="1" ref="I12" ca="1">IF(ISBLANK($C12),"",IF(($C12=(INDIRECT(I$2&amp;"!E"&amp;$T12))),(INDIRECT(I$2&amp;"!F"&amp;$T12)),0))</f>
        <v>4</v>
      </c>
      <c r="J12" s="42" cm="1">
        <f t="array" aca="1" ref="J12" ca="1">IF(ISBLANK($C12),"",IF(($C12=(INDIRECT(J$2&amp;"!E"&amp;$T12))),(INDIRECT(J$2&amp;"!F"&amp;$T12)),0))</f>
        <v>28</v>
      </c>
      <c r="K12" s="42" cm="1">
        <f t="array" aca="1" ref="K12" ca="1">IF(ISBLANK($C12),"",IF(($C12=(INDIRECT(K$2&amp;"!E"&amp;$T12))),(INDIRECT(K$2&amp;"!F"&amp;$T12)),0))</f>
        <v>22</v>
      </c>
      <c r="L12" s="42" cm="1">
        <f t="array" aca="1" ref="L12" ca="1">IF(ISBLANK($C12),"",IF(($C12=(INDIRECT(L$2&amp;"!E"&amp;$T12))),(INDIRECT(L$2&amp;"!F"&amp;$T12)),0))</f>
        <v>4</v>
      </c>
      <c r="M12" s="42" cm="1">
        <f t="array" aca="1" ref="M12" ca="1">IF(ISBLANK($C12),"",IF(($C12=(INDIRECT(M$2&amp;"!E"&amp;$T12))),(INDIRECT(M$2&amp;"!F"&amp;$T12)),0))</f>
        <v>0</v>
      </c>
      <c r="N12" s="42" cm="1">
        <f t="array" aca="1" ref="N12" ca="1">IF(ISBLANK($C12),"",IF(($C12=(INDIRECT(N$2&amp;"!E"&amp;$T12))),(INDIRECT(N$2&amp;"!F"&amp;$T12)),0))</f>
        <v>0</v>
      </c>
      <c r="O12" s="42" cm="1">
        <f t="array" aca="1" ref="O12" ca="1">IF(ISBLANK($C12),"",IF(($C12=(INDIRECT(O$2&amp;"!E"&amp;$T12))),(INDIRECT(O$2&amp;"!F"&amp;$T12)),0))</f>
        <v>0</v>
      </c>
      <c r="P12" s="42" cm="1">
        <f t="array" aca="1" ref="P12" ca="1">IF(ISBLANK($C12),"",IF(($C12=(INDIRECT(P$2&amp;"!E"&amp;$T12))),(INDIRECT(P$2&amp;"!F"&amp;$T12)),0))</f>
        <v>31</v>
      </c>
      <c r="Q12" s="42" cm="1">
        <f t="array" aca="1" ref="Q12" ca="1">IF(ISBLANK($C12),"",IF(($C12=(INDIRECT(Q$2&amp;"!E"&amp;$T12))),(INDIRECT(Q$2&amp;"!F"&amp;$T12)),0))</f>
        <v>10</v>
      </c>
      <c r="R12" s="42" cm="1">
        <f t="array" aca="1" ref="R12" ca="1">IF(ISBLANK($C12),"",IF(($C12=(INDIRECT(R$2&amp;"!E"&amp;$T12))),(INDIRECT(R$2&amp;"!F"&amp;$T12)),0))</f>
        <v>20</v>
      </c>
      <c r="S12" s="43" cm="1">
        <f t="array" aca="1" ref="S12" ca="1">IF(ISBLANK($C12),"",IF(($C12=(INDIRECT(S$2&amp;"!E"&amp;$T12))),(INDIRECT(S$2&amp;"!F"&amp;$T12)),0))</f>
        <v>0</v>
      </c>
      <c r="T12" s="50">
        <f t="shared" si="8"/>
        <v>11</v>
      </c>
      <c r="U12" s="78">
        <f t="shared" ca="1" si="2"/>
        <v>10</v>
      </c>
      <c r="V12" s="80">
        <f t="shared" ca="1" si="3"/>
        <v>17</v>
      </c>
      <c r="W12" s="79" t="s">
        <v>29</v>
      </c>
      <c r="X12" s="86">
        <f t="shared" ca="1" si="4"/>
        <v>5</v>
      </c>
      <c r="Y12" s="87">
        <f t="shared" ca="1" si="5"/>
        <v>19.399999999999999</v>
      </c>
      <c r="Z12" s="79" t="s">
        <v>29</v>
      </c>
      <c r="AA12" t="str" cm="1">
        <f t="array" aca="1" ref="AA12" ca="1">IF(ISBLANK($C12),"",IF(E12=0,INDIRECT(E$2&amp;"!F"&amp;$T12),""))</f>
        <v/>
      </c>
      <c r="AB12" t="str" cm="1">
        <f t="array" aca="1" ref="AB12" ca="1">IF(ISBLANK($C12),"",IF(F12=0,INDIRECT(F$2&amp;"!F"&amp;$T12),""))</f>
        <v/>
      </c>
      <c r="AC12" t="str" cm="1">
        <f t="array" aca="1" ref="AC12" ca="1">IF(ISBLANK($C12),"",IF(G12=0,INDIRECT(G$2&amp;"!F"&amp;$T12),""))</f>
        <v/>
      </c>
      <c r="AD12" cm="1">
        <f t="array" aca="1" ref="AD12" ca="1">IF(ISBLANK($C12),"",IF(H12=0,INDIRECT(H$2&amp;"!F"&amp;$T12),""))</f>
        <v>28</v>
      </c>
      <c r="AE12" t="str" cm="1">
        <f t="array" aca="1" ref="AE12" ca="1">IF(ISBLANK($C12),"",IF(I12=0,INDIRECT(I$2&amp;"!F"&amp;$T12),""))</f>
        <v/>
      </c>
      <c r="AF12" t="str" cm="1">
        <f t="array" aca="1" ref="AF12" ca="1">IF(ISBLANK($C12),"",IF(J12=0,INDIRECT(J$2&amp;"!F"&amp;$T12),""))</f>
        <v/>
      </c>
      <c r="AG12" t="str" cm="1">
        <f t="array" aca="1" ref="AG12" ca="1">IF(ISBLANK($C12),"",IF(K12=0,INDIRECT(K$2&amp;"!F"&amp;$T12),""))</f>
        <v/>
      </c>
      <c r="AH12" t="str" cm="1">
        <f t="array" aca="1" ref="AH12" ca="1">IF(ISBLANK($C12),"",IF(L12=0,INDIRECT(L$2&amp;"!F"&amp;$T12),""))</f>
        <v/>
      </c>
      <c r="AI12" cm="1">
        <f t="array" aca="1" ref="AI12" ca="1">IF(ISBLANK($C12),"",IF(M12=0,INDIRECT(M$2&amp;"!F"&amp;$T12),""))</f>
        <v>5</v>
      </c>
      <c r="AJ12" cm="1">
        <f t="array" aca="1" ref="AJ12" ca="1">IF(ISBLANK($C12),"",IF(N12=0,INDIRECT(N$2&amp;"!F"&amp;$T12),""))</f>
        <v>9</v>
      </c>
      <c r="AK12" cm="1">
        <f t="array" aca="1" ref="AK12" ca="1">IF(ISBLANK($C12),"",IF(O12=0,INDIRECT(O$2&amp;"!F"&amp;$T12),""))</f>
        <v>33</v>
      </c>
      <c r="AL12" t="str" cm="1">
        <f t="array" aca="1" ref="AL12" ca="1">IF(ISBLANK($C12),"",IF(P12=0,INDIRECT(P$2&amp;"!F"&amp;$T12),""))</f>
        <v/>
      </c>
      <c r="AM12" t="str" cm="1">
        <f t="array" aca="1" ref="AM12" ca="1">IF(ISBLANK($C12),"",IF(Q12=0,INDIRECT(Q$2&amp;"!F"&amp;$T12),""))</f>
        <v/>
      </c>
      <c r="AN12" t="str" cm="1">
        <f t="array" aca="1" ref="AN12" ca="1">IF(ISBLANK($C12),"",IF(R12=0,INDIRECT(R$2&amp;"!F"&amp;$T12),""))</f>
        <v/>
      </c>
      <c r="AO12" cm="1">
        <f t="array" aca="1" ref="AO12" ca="1">IF(ISBLANK($C12),"",IF(S12=0,INDIRECT(S$2&amp;"!F"&amp;$T12),""))</f>
        <v>22</v>
      </c>
      <c r="AP12">
        <f t="shared" ca="1" si="6"/>
        <v>5</v>
      </c>
      <c r="AQ12">
        <f t="shared" ca="1" si="7"/>
        <v>15</v>
      </c>
    </row>
    <row r="13" spans="1:43" ht="15.5" x14ac:dyDescent="0.35">
      <c r="A13" s="28">
        <v>43820</v>
      </c>
      <c r="B13" s="29" t="s">
        <v>32</v>
      </c>
      <c r="C13" s="29" t="s">
        <v>33</v>
      </c>
      <c r="D13" s="39"/>
      <c r="E13" s="41" cm="1">
        <f t="array" aca="1" ref="E13" ca="1">IF(ISBLANK($C13),"",IF(($C13=(INDIRECT(E$2&amp;"!E"&amp;$T13))),(INDIRECT(E$2&amp;"!F"&amp;$T13)),0))</f>
        <v>39</v>
      </c>
      <c r="F13" s="42" cm="1">
        <f t="array" aca="1" ref="F13" ca="1">IF(ISBLANK($C13),"",IF(($C13=(INDIRECT(F$2&amp;"!E"&amp;$T13))),(INDIRECT(F$2&amp;"!F"&amp;$T13)),0))</f>
        <v>37</v>
      </c>
      <c r="G13" s="42" cm="1">
        <f t="array" aca="1" ref="G13" ca="1">IF(ISBLANK($C13),"",IF(($C13=(INDIRECT(G$2&amp;"!E"&amp;$T13))),(INDIRECT(G$2&amp;"!F"&amp;$T13)),0))</f>
        <v>37</v>
      </c>
      <c r="H13" s="42" cm="1">
        <f t="array" aca="1" ref="H13" ca="1">IF(ISBLANK($C13),"",IF(($C13=(INDIRECT(H$2&amp;"!E"&amp;$T13))),(INDIRECT(H$2&amp;"!F"&amp;$T13)),0))</f>
        <v>40</v>
      </c>
      <c r="I13" s="42" cm="1">
        <f t="array" aca="1" ref="I13" ca="1">IF(ISBLANK($C13),"",IF(($C13=(INDIRECT(I$2&amp;"!E"&amp;$T13))),(INDIRECT(I$2&amp;"!F"&amp;$T13)),0))</f>
        <v>36</v>
      </c>
      <c r="J13" s="42" cm="1">
        <f t="array" aca="1" ref="J13" ca="1">IF(ISBLANK($C13),"",IF(($C13=(INDIRECT(J$2&amp;"!E"&amp;$T13))),(INDIRECT(J$2&amp;"!F"&amp;$T13)),0))</f>
        <v>20</v>
      </c>
      <c r="K13" s="42" cm="1">
        <f t="array" aca="1" ref="K13" ca="1">IF(ISBLANK($C13),"",IF(($C13=(INDIRECT(K$2&amp;"!E"&amp;$T13))),(INDIRECT(K$2&amp;"!F"&amp;$T13)),0))</f>
        <v>35</v>
      </c>
      <c r="L13" s="42" cm="1">
        <f t="array" aca="1" ref="L13" ca="1">IF(ISBLANK($C13),"",IF(($C13=(INDIRECT(L$2&amp;"!E"&amp;$T13))),(INDIRECT(L$2&amp;"!F"&amp;$T13)),0))</f>
        <v>39</v>
      </c>
      <c r="M13" s="42" cm="1">
        <f t="array" aca="1" ref="M13" ca="1">IF(ISBLANK($C13),"",IF(($C13=(INDIRECT(M$2&amp;"!E"&amp;$T13))),(INDIRECT(M$2&amp;"!F"&amp;$T13)),0))</f>
        <v>37</v>
      </c>
      <c r="N13" s="42" cm="1">
        <f t="array" aca="1" ref="N13" ca="1">IF(ISBLANK($C13),"",IF(($C13=(INDIRECT(N$2&amp;"!E"&amp;$T13))),(INDIRECT(N$2&amp;"!F"&amp;$T13)),0))</f>
        <v>30</v>
      </c>
      <c r="O13" s="42" cm="1">
        <f t="array" aca="1" ref="O13" ca="1">IF(ISBLANK($C13),"",IF(($C13=(INDIRECT(O$2&amp;"!E"&amp;$T13))),(INDIRECT(O$2&amp;"!F"&amp;$T13)),0))</f>
        <v>5</v>
      </c>
      <c r="P13" s="42" cm="1">
        <f t="array" aca="1" ref="P13" ca="1">IF(ISBLANK($C13),"",IF(($C13=(INDIRECT(P$2&amp;"!E"&amp;$T13))),(INDIRECT(P$2&amp;"!F"&amp;$T13)),0))</f>
        <v>1</v>
      </c>
      <c r="Q13" s="42" cm="1">
        <f t="array" aca="1" ref="Q13" ca="1">IF(ISBLANK($C13),"",IF(($C13=(INDIRECT(Q$2&amp;"!E"&amp;$T13))),(INDIRECT(Q$2&amp;"!F"&amp;$T13)),0))</f>
        <v>29</v>
      </c>
      <c r="R13" s="42" cm="1">
        <f t="array" aca="1" ref="R13" ca="1">IF(ISBLANK($C13),"",IF(($C13=(INDIRECT(R$2&amp;"!E"&amp;$T13))),(INDIRECT(R$2&amp;"!F"&amp;$T13)),0))</f>
        <v>39</v>
      </c>
      <c r="S13" s="43" cm="1">
        <f t="array" aca="1" ref="S13" ca="1">IF(ISBLANK($C13),"",IF(($C13=(INDIRECT(S$2&amp;"!E"&amp;$T13))),(INDIRECT(S$2&amp;"!F"&amp;$T13)),0))</f>
        <v>28</v>
      </c>
      <c r="T13" s="50">
        <f t="shared" si="8"/>
        <v>12</v>
      </c>
      <c r="U13" s="78">
        <f t="shared" ca="1" si="2"/>
        <v>15</v>
      </c>
      <c r="V13" s="80">
        <f t="shared" ca="1" si="3"/>
        <v>30.133333333333333</v>
      </c>
      <c r="W13" s="79" t="s">
        <v>32</v>
      </c>
      <c r="X13" s="86">
        <f t="shared" ca="1" si="4"/>
        <v>0</v>
      </c>
      <c r="Y13" s="87">
        <f t="shared" ca="1" si="5"/>
        <v>0</v>
      </c>
      <c r="Z13" s="79" t="s">
        <v>32</v>
      </c>
      <c r="AA13" t="str" cm="1">
        <f t="array" aca="1" ref="AA13" ca="1">IF(ISBLANK($C13),"",IF(E13=0,INDIRECT(E$2&amp;"!F"&amp;$T13),""))</f>
        <v/>
      </c>
      <c r="AB13" t="str" cm="1">
        <f t="array" aca="1" ref="AB13" ca="1">IF(ISBLANK($C13),"",IF(F13=0,INDIRECT(F$2&amp;"!F"&amp;$T13),""))</f>
        <v/>
      </c>
      <c r="AC13" t="str" cm="1">
        <f t="array" aca="1" ref="AC13" ca="1">IF(ISBLANK($C13),"",IF(G13=0,INDIRECT(G$2&amp;"!F"&amp;$T13),""))</f>
        <v/>
      </c>
      <c r="AD13" t="str" cm="1">
        <f t="array" aca="1" ref="AD13" ca="1">IF(ISBLANK($C13),"",IF(H13=0,INDIRECT(H$2&amp;"!F"&amp;$T13),""))</f>
        <v/>
      </c>
      <c r="AE13" t="str" cm="1">
        <f t="array" aca="1" ref="AE13" ca="1">IF(ISBLANK($C13),"",IF(I13=0,INDIRECT(I$2&amp;"!F"&amp;$T13),""))</f>
        <v/>
      </c>
      <c r="AF13" t="str" cm="1">
        <f t="array" aca="1" ref="AF13" ca="1">IF(ISBLANK($C13),"",IF(J13=0,INDIRECT(J$2&amp;"!F"&amp;$T13),""))</f>
        <v/>
      </c>
      <c r="AG13" t="str" cm="1">
        <f t="array" aca="1" ref="AG13" ca="1">IF(ISBLANK($C13),"",IF(K13=0,INDIRECT(K$2&amp;"!F"&amp;$T13),""))</f>
        <v/>
      </c>
      <c r="AH13" t="str" cm="1">
        <f t="array" aca="1" ref="AH13" ca="1">IF(ISBLANK($C13),"",IF(L13=0,INDIRECT(L$2&amp;"!F"&amp;$T13),""))</f>
        <v/>
      </c>
      <c r="AI13" t="str" cm="1">
        <f t="array" aca="1" ref="AI13" ca="1">IF(ISBLANK($C13),"",IF(M13=0,INDIRECT(M$2&amp;"!F"&amp;$T13),""))</f>
        <v/>
      </c>
      <c r="AJ13" t="str" cm="1">
        <f t="array" aca="1" ref="AJ13" ca="1">IF(ISBLANK($C13),"",IF(N13=0,INDIRECT(N$2&amp;"!F"&amp;$T13),""))</f>
        <v/>
      </c>
      <c r="AK13" t="str" cm="1">
        <f t="array" aca="1" ref="AK13" ca="1">IF(ISBLANK($C13),"",IF(O13=0,INDIRECT(O$2&amp;"!F"&amp;$T13),""))</f>
        <v/>
      </c>
      <c r="AL13" t="str" cm="1">
        <f t="array" aca="1" ref="AL13" ca="1">IF(ISBLANK($C13),"",IF(P13=0,INDIRECT(P$2&amp;"!F"&amp;$T13),""))</f>
        <v/>
      </c>
      <c r="AM13" t="str" cm="1">
        <f t="array" aca="1" ref="AM13" ca="1">IF(ISBLANK($C13),"",IF(Q13=0,INDIRECT(Q$2&amp;"!F"&amp;$T13),""))</f>
        <v/>
      </c>
      <c r="AN13" t="str" cm="1">
        <f t="array" aca="1" ref="AN13" ca="1">IF(ISBLANK($C13),"",IF(R13=0,INDIRECT(R$2&amp;"!F"&amp;$T13),""))</f>
        <v/>
      </c>
      <c r="AO13" t="str" cm="1">
        <f t="array" aca="1" ref="AO13" ca="1">IF(ISBLANK($C13),"",IF(S13=0,INDIRECT(S$2&amp;"!F"&amp;$T13),""))</f>
        <v/>
      </c>
      <c r="AP13">
        <f t="shared" ca="1" si="6"/>
        <v>0</v>
      </c>
      <c r="AQ13">
        <f t="shared" ca="1" si="7"/>
        <v>15</v>
      </c>
    </row>
    <row r="14" spans="1:43" ht="15.5" x14ac:dyDescent="0.35">
      <c r="A14" s="28">
        <v>43822</v>
      </c>
      <c r="B14" s="29" t="s">
        <v>35</v>
      </c>
      <c r="C14" s="29" t="s">
        <v>36</v>
      </c>
      <c r="D14" s="39"/>
      <c r="E14" s="41" cm="1">
        <f t="array" aca="1" ref="E14" ca="1">IF(ISBLANK($C14),"",IF(($C14=(INDIRECT(E$2&amp;"!E"&amp;$T14))),(INDIRECT(E$2&amp;"!F"&amp;$T14)),0))</f>
        <v>35</v>
      </c>
      <c r="F14" s="42" cm="1">
        <f t="array" aca="1" ref="F14" ca="1">IF(ISBLANK($C14),"",IF(($C14=(INDIRECT(F$2&amp;"!E"&amp;$T14))),(INDIRECT(F$2&amp;"!F"&amp;$T14)),0))</f>
        <v>38</v>
      </c>
      <c r="G14" s="42" cm="1">
        <f t="array" aca="1" ref="G14" ca="1">IF(ISBLANK($C14),"",IF(($C14=(INDIRECT(G$2&amp;"!E"&amp;$T14))),(INDIRECT(G$2&amp;"!F"&amp;$T14)),0))</f>
        <v>36</v>
      </c>
      <c r="H14" s="42" cm="1">
        <f t="array" aca="1" ref="H14" ca="1">IF(ISBLANK($C14),"",IF(($C14=(INDIRECT(H$2&amp;"!E"&amp;$T14))),(INDIRECT(H$2&amp;"!F"&amp;$T14)),0))</f>
        <v>39</v>
      </c>
      <c r="I14" s="42" cm="1">
        <f t="array" aca="1" ref="I14" ca="1">IF(ISBLANK($C14),"",IF(($C14=(INDIRECT(I$2&amp;"!E"&amp;$T14))),(INDIRECT(I$2&amp;"!F"&amp;$T14)),0))</f>
        <v>37</v>
      </c>
      <c r="J14" s="42" cm="1">
        <f t="array" aca="1" ref="J14" ca="1">IF(ISBLANK($C14),"",IF(($C14=(INDIRECT(J$2&amp;"!E"&amp;$T14))),(INDIRECT(J$2&amp;"!F"&amp;$T14)),0))</f>
        <v>11</v>
      </c>
      <c r="K14" s="42" cm="1">
        <f t="array" aca="1" ref="K14" ca="1">IF(ISBLANK($C14),"",IF(($C14=(INDIRECT(K$2&amp;"!E"&amp;$T14))),(INDIRECT(K$2&amp;"!F"&amp;$T14)),0))</f>
        <v>32</v>
      </c>
      <c r="L14" s="42" cm="1">
        <f t="array" aca="1" ref="L14" ca="1">IF(ISBLANK($C14),"",IF(($C14=(INDIRECT(L$2&amp;"!E"&amp;$T14))),(INDIRECT(L$2&amp;"!F"&amp;$T14)),0))</f>
        <v>40</v>
      </c>
      <c r="M14" s="42" cm="1">
        <f t="array" aca="1" ref="M14" ca="1">IF(ISBLANK($C14),"",IF(($C14=(INDIRECT(M$2&amp;"!E"&amp;$T14))),(INDIRECT(M$2&amp;"!F"&amp;$T14)),0))</f>
        <v>39</v>
      </c>
      <c r="N14" s="42" cm="1">
        <f t="array" aca="1" ref="N14" ca="1">IF(ISBLANK($C14),"",IF(($C14=(INDIRECT(N$2&amp;"!E"&amp;$T14))),(INDIRECT(N$2&amp;"!F"&amp;$T14)),0))</f>
        <v>35</v>
      </c>
      <c r="O14" s="42" cm="1">
        <f t="array" aca="1" ref="O14" ca="1">IF(ISBLANK($C14),"",IF(($C14=(INDIRECT(O$2&amp;"!E"&amp;$T14))),(INDIRECT(O$2&amp;"!F"&amp;$T14)),0))</f>
        <v>21</v>
      </c>
      <c r="P14" s="42" cm="1">
        <f t="array" aca="1" ref="P14" ca="1">IF(ISBLANK($C14),"",IF(($C14=(INDIRECT(P$2&amp;"!E"&amp;$T14))),(INDIRECT(P$2&amp;"!F"&amp;$T14)),0))</f>
        <v>2</v>
      </c>
      <c r="Q14" s="42" cm="1">
        <f t="array" aca="1" ref="Q14" ca="1">IF(ISBLANK($C14),"",IF(($C14=(INDIRECT(Q$2&amp;"!E"&amp;$T14))),(INDIRECT(Q$2&amp;"!F"&amp;$T14)),0))</f>
        <v>0</v>
      </c>
      <c r="R14" s="42" cm="1">
        <f t="array" aca="1" ref="R14" ca="1">IF(ISBLANK($C14),"",IF(($C14=(INDIRECT(R$2&amp;"!E"&amp;$T14))),(INDIRECT(R$2&amp;"!F"&amp;$T14)),0))</f>
        <v>30</v>
      </c>
      <c r="S14" s="43" cm="1">
        <f t="array" aca="1" ref="S14" ca="1">IF(ISBLANK($C14),"",IF(($C14=(INDIRECT(S$2&amp;"!E"&amp;$T14))),(INDIRECT(S$2&amp;"!F"&amp;$T14)),0))</f>
        <v>12</v>
      </c>
      <c r="T14" s="50">
        <f t="shared" si="8"/>
        <v>13</v>
      </c>
      <c r="U14" s="78">
        <f t="shared" ca="1" si="2"/>
        <v>14</v>
      </c>
      <c r="V14" s="80">
        <f t="shared" ca="1" si="3"/>
        <v>29.071428571428573</v>
      </c>
      <c r="W14" s="79" t="s">
        <v>35</v>
      </c>
      <c r="X14" s="86">
        <f t="shared" ca="1" si="4"/>
        <v>1</v>
      </c>
      <c r="Y14" s="87">
        <f t="shared" ca="1" si="5"/>
        <v>4</v>
      </c>
      <c r="Z14" s="79" t="s">
        <v>35</v>
      </c>
      <c r="AA14" t="str" cm="1">
        <f t="array" aca="1" ref="AA14" ca="1">IF(ISBLANK($C14),"",IF(E14=0,INDIRECT(E$2&amp;"!F"&amp;$T14),""))</f>
        <v/>
      </c>
      <c r="AB14" t="str" cm="1">
        <f t="array" aca="1" ref="AB14" ca="1">IF(ISBLANK($C14),"",IF(F14=0,INDIRECT(F$2&amp;"!F"&amp;$T14),""))</f>
        <v/>
      </c>
      <c r="AC14" t="str" cm="1">
        <f t="array" aca="1" ref="AC14" ca="1">IF(ISBLANK($C14),"",IF(G14=0,INDIRECT(G$2&amp;"!F"&amp;$T14),""))</f>
        <v/>
      </c>
      <c r="AD14" t="str" cm="1">
        <f t="array" aca="1" ref="AD14" ca="1">IF(ISBLANK($C14),"",IF(H14=0,INDIRECT(H$2&amp;"!F"&amp;$T14),""))</f>
        <v/>
      </c>
      <c r="AE14" t="str" cm="1">
        <f t="array" aca="1" ref="AE14" ca="1">IF(ISBLANK($C14),"",IF(I14=0,INDIRECT(I$2&amp;"!F"&amp;$T14),""))</f>
        <v/>
      </c>
      <c r="AF14" t="str" cm="1">
        <f t="array" aca="1" ref="AF14" ca="1">IF(ISBLANK($C14),"",IF(J14=0,INDIRECT(J$2&amp;"!F"&amp;$T14),""))</f>
        <v/>
      </c>
      <c r="AG14" t="str" cm="1">
        <f t="array" aca="1" ref="AG14" ca="1">IF(ISBLANK($C14),"",IF(K14=0,INDIRECT(K$2&amp;"!F"&amp;$T14),""))</f>
        <v/>
      </c>
      <c r="AH14" t="str" cm="1">
        <f t="array" aca="1" ref="AH14" ca="1">IF(ISBLANK($C14),"",IF(L14=0,INDIRECT(L$2&amp;"!F"&amp;$T14),""))</f>
        <v/>
      </c>
      <c r="AI14" t="str" cm="1">
        <f t="array" aca="1" ref="AI14" ca="1">IF(ISBLANK($C14),"",IF(M14=0,INDIRECT(M$2&amp;"!F"&amp;$T14),""))</f>
        <v/>
      </c>
      <c r="AJ14" t="str" cm="1">
        <f t="array" aca="1" ref="AJ14" ca="1">IF(ISBLANK($C14),"",IF(N14=0,INDIRECT(N$2&amp;"!F"&amp;$T14),""))</f>
        <v/>
      </c>
      <c r="AK14" t="str" cm="1">
        <f t="array" aca="1" ref="AK14" ca="1">IF(ISBLANK($C14),"",IF(O14=0,INDIRECT(O$2&amp;"!F"&amp;$T14),""))</f>
        <v/>
      </c>
      <c r="AL14" t="str" cm="1">
        <f t="array" aca="1" ref="AL14" ca="1">IF(ISBLANK($C14),"",IF(P14=0,INDIRECT(P$2&amp;"!F"&amp;$T14),""))</f>
        <v/>
      </c>
      <c r="AM14" cm="1">
        <f t="array" aca="1" ref="AM14" ca="1">IF(ISBLANK($C14),"",IF(Q14=0,INDIRECT(Q$2&amp;"!F"&amp;$T14),""))</f>
        <v>4</v>
      </c>
      <c r="AN14" t="str" cm="1">
        <f t="array" aca="1" ref="AN14" ca="1">IF(ISBLANK($C14),"",IF(R14=0,INDIRECT(R$2&amp;"!F"&amp;$T14),""))</f>
        <v/>
      </c>
      <c r="AO14" t="str" cm="1">
        <f t="array" aca="1" ref="AO14" ca="1">IF(ISBLANK($C14),"",IF(S14=0,INDIRECT(S$2&amp;"!F"&amp;$T14),""))</f>
        <v/>
      </c>
      <c r="AP14">
        <f t="shared" ca="1" si="6"/>
        <v>1</v>
      </c>
      <c r="AQ14">
        <f t="shared" ca="1" si="7"/>
        <v>15</v>
      </c>
    </row>
    <row r="15" spans="1:43" ht="15.5" x14ac:dyDescent="0.35">
      <c r="A15" s="28">
        <v>43823</v>
      </c>
      <c r="B15" s="29" t="s">
        <v>38</v>
      </c>
      <c r="C15" s="29" t="s">
        <v>39</v>
      </c>
      <c r="D15" s="39"/>
      <c r="E15" s="41" cm="1">
        <f t="array" aca="1" ref="E15" ca="1">IF(ISBLANK($C15),"",IF(($C15=(INDIRECT(E$2&amp;"!E"&amp;$T15))),(INDIRECT(E$2&amp;"!F"&amp;$T15)),0))</f>
        <v>7</v>
      </c>
      <c r="F15" s="42" cm="1">
        <f t="array" aca="1" ref="F15" ca="1">IF(ISBLANK($C15),"",IF(($C15=(INDIRECT(F$2&amp;"!E"&amp;$T15))),(INDIRECT(F$2&amp;"!F"&amp;$T15)),0))</f>
        <v>0</v>
      </c>
      <c r="G15" s="42" cm="1">
        <f t="array" aca="1" ref="G15" ca="1">IF(ISBLANK($C15),"",IF(($C15=(INDIRECT(G$2&amp;"!E"&amp;$T15))),(INDIRECT(G$2&amp;"!F"&amp;$T15)),0))</f>
        <v>25</v>
      </c>
      <c r="H15" s="42" cm="1">
        <f t="array" aca="1" ref="H15" ca="1">IF(ISBLANK($C15),"",IF(($C15=(INDIRECT(H$2&amp;"!E"&amp;$T15))),(INDIRECT(H$2&amp;"!F"&amp;$T15)),0))</f>
        <v>29</v>
      </c>
      <c r="I15" s="42" cm="1">
        <f t="array" aca="1" ref="I15" ca="1">IF(ISBLANK($C15),"",IF(($C15=(INDIRECT(I$2&amp;"!E"&amp;$T15))),(INDIRECT(I$2&amp;"!F"&amp;$T15)),0))</f>
        <v>21</v>
      </c>
      <c r="J15" s="42" cm="1">
        <f t="array" aca="1" ref="J15" ca="1">IF(ISBLANK($C15),"",IF(($C15=(INDIRECT(J$2&amp;"!E"&amp;$T15))),(INDIRECT(J$2&amp;"!F"&amp;$T15)),0))</f>
        <v>0</v>
      </c>
      <c r="K15" s="42" cm="1">
        <f t="array" aca="1" ref="K15" ca="1">IF(ISBLANK($C15),"",IF(($C15=(INDIRECT(K$2&amp;"!E"&amp;$T15))),(INDIRECT(K$2&amp;"!F"&amp;$T15)),0))</f>
        <v>6</v>
      </c>
      <c r="L15" s="42" cm="1">
        <f t="array" aca="1" ref="L15" ca="1">IF(ISBLANK($C15),"",IF(($C15=(INDIRECT(L$2&amp;"!E"&amp;$T15))),(INDIRECT(L$2&amp;"!F"&amp;$T15)),0))</f>
        <v>1</v>
      </c>
      <c r="M15" s="42" cm="1">
        <f t="array" aca="1" ref="M15" ca="1">IF(ISBLANK($C15),"",IF(($C15=(INDIRECT(M$2&amp;"!E"&amp;$T15))),(INDIRECT(M$2&amp;"!F"&amp;$T15)),0))</f>
        <v>7</v>
      </c>
      <c r="N15" s="42" cm="1">
        <f t="array" aca="1" ref="N15" ca="1">IF(ISBLANK($C15),"",IF(($C15=(INDIRECT(N$2&amp;"!E"&amp;$T15))),(INDIRECT(N$2&amp;"!F"&amp;$T15)),0))</f>
        <v>4</v>
      </c>
      <c r="O15" s="42" cm="1">
        <f t="array" aca="1" ref="O15" ca="1">IF(ISBLANK($C15),"",IF(($C15=(INDIRECT(O$2&amp;"!E"&amp;$T15))),(INDIRECT(O$2&amp;"!F"&amp;$T15)),0))</f>
        <v>23</v>
      </c>
      <c r="P15" s="42" cm="1">
        <f t="array" aca="1" ref="P15" ca="1">IF(ISBLANK($C15),"",IF(($C15=(INDIRECT(P$2&amp;"!E"&amp;$T15))),(INDIRECT(P$2&amp;"!F"&amp;$T15)),0))</f>
        <v>0</v>
      </c>
      <c r="Q15" s="42" cm="1">
        <f t="array" aca="1" ref="Q15" ca="1">IF(ISBLANK($C15),"",IF(($C15=(INDIRECT(Q$2&amp;"!E"&amp;$T15))),(INDIRECT(Q$2&amp;"!F"&amp;$T15)),0))</f>
        <v>0</v>
      </c>
      <c r="R15" s="42" cm="1">
        <f t="array" aca="1" ref="R15" ca="1">IF(ISBLANK($C15),"",IF(($C15=(INDIRECT(R$2&amp;"!E"&amp;$T15))),(INDIRECT(R$2&amp;"!F"&amp;$T15)),0))</f>
        <v>0</v>
      </c>
      <c r="S15" s="43" cm="1">
        <f t="array" aca="1" ref="S15" ca="1">IF(ISBLANK($C15),"",IF(($C15=(INDIRECT(S$2&amp;"!E"&amp;$T15))),(INDIRECT(S$2&amp;"!F"&amp;$T15)),0))</f>
        <v>0</v>
      </c>
      <c r="T15" s="50">
        <f t="shared" si="8"/>
        <v>14</v>
      </c>
      <c r="U15" s="78">
        <f t="shared" ca="1" si="2"/>
        <v>9</v>
      </c>
      <c r="V15" s="80">
        <f t="shared" ca="1" si="3"/>
        <v>13.666666666666666</v>
      </c>
      <c r="W15" s="79" t="s">
        <v>38</v>
      </c>
      <c r="X15" s="86">
        <f t="shared" ca="1" si="4"/>
        <v>6</v>
      </c>
      <c r="Y15" s="87">
        <f t="shared" ca="1" si="5"/>
        <v>15.833333333333334</v>
      </c>
      <c r="Z15" s="79" t="s">
        <v>38</v>
      </c>
      <c r="AA15" t="str" cm="1">
        <f t="array" aca="1" ref="AA15" ca="1">IF(ISBLANK($C15),"",IF(E15=0,INDIRECT(E$2&amp;"!F"&amp;$T15),""))</f>
        <v/>
      </c>
      <c r="AB15" cm="1">
        <f t="array" aca="1" ref="AB15" ca="1">IF(ISBLANK($C15),"",IF(F15=0,INDIRECT(F$2&amp;"!F"&amp;$T15),""))</f>
        <v>15</v>
      </c>
      <c r="AC15" t="str" cm="1">
        <f t="array" aca="1" ref="AC15" ca="1">IF(ISBLANK($C15),"",IF(G15=0,INDIRECT(G$2&amp;"!F"&amp;$T15),""))</f>
        <v/>
      </c>
      <c r="AD15" t="str" cm="1">
        <f t="array" aca="1" ref="AD15" ca="1">IF(ISBLANK($C15),"",IF(H15=0,INDIRECT(H$2&amp;"!F"&amp;$T15),""))</f>
        <v/>
      </c>
      <c r="AE15" t="str" cm="1">
        <f t="array" aca="1" ref="AE15" ca="1">IF(ISBLANK($C15),"",IF(I15=0,INDIRECT(I$2&amp;"!F"&amp;$T15),""))</f>
        <v/>
      </c>
      <c r="AF15" cm="1">
        <f t="array" aca="1" ref="AF15" ca="1">IF(ISBLANK($C15),"",IF(J15=0,INDIRECT(J$2&amp;"!F"&amp;$T15),""))</f>
        <v>6</v>
      </c>
      <c r="AG15" t="str" cm="1">
        <f t="array" aca="1" ref="AG15" ca="1">IF(ISBLANK($C15),"",IF(K15=0,INDIRECT(K$2&amp;"!F"&amp;$T15),""))</f>
        <v/>
      </c>
      <c r="AH15" t="str" cm="1">
        <f t="array" aca="1" ref="AH15" ca="1">IF(ISBLANK($C15),"",IF(L15=0,INDIRECT(L$2&amp;"!F"&amp;$T15),""))</f>
        <v/>
      </c>
      <c r="AI15" t="str" cm="1">
        <f t="array" aca="1" ref="AI15" ca="1">IF(ISBLANK($C15),"",IF(M15=0,INDIRECT(M$2&amp;"!F"&amp;$T15),""))</f>
        <v/>
      </c>
      <c r="AJ15" t="str" cm="1">
        <f t="array" aca="1" ref="AJ15" ca="1">IF(ISBLANK($C15),"",IF(N15=0,INDIRECT(N$2&amp;"!F"&amp;$T15),""))</f>
        <v/>
      </c>
      <c r="AK15" t="str" cm="1">
        <f t="array" aca="1" ref="AK15" ca="1">IF(ISBLANK($C15),"",IF(O15=0,INDIRECT(O$2&amp;"!F"&amp;$T15),""))</f>
        <v/>
      </c>
      <c r="AL15" cm="1">
        <f t="array" aca="1" ref="AL15" ca="1">IF(ISBLANK($C15),"",IF(P15=0,INDIRECT(P$2&amp;"!F"&amp;$T15),""))</f>
        <v>35</v>
      </c>
      <c r="AM15" cm="1">
        <f t="array" aca="1" ref="AM15" ca="1">IF(ISBLANK($C15),"",IF(Q15=0,INDIRECT(Q$2&amp;"!F"&amp;$T15),""))</f>
        <v>16</v>
      </c>
      <c r="AN15" cm="1">
        <f t="array" aca="1" ref="AN15" ca="1">IF(ISBLANK($C15),"",IF(R15=0,INDIRECT(R$2&amp;"!F"&amp;$T15),""))</f>
        <v>19</v>
      </c>
      <c r="AO15" cm="1">
        <f t="array" aca="1" ref="AO15" ca="1">IF(ISBLANK($C15),"",IF(S15=0,INDIRECT(S$2&amp;"!F"&amp;$T15),""))</f>
        <v>4</v>
      </c>
      <c r="AP15">
        <f t="shared" ca="1" si="6"/>
        <v>6</v>
      </c>
      <c r="AQ15">
        <f t="shared" ca="1" si="7"/>
        <v>15</v>
      </c>
    </row>
    <row r="16" spans="1:43" ht="15.5" x14ac:dyDescent="0.35">
      <c r="A16" s="28">
        <v>43825</v>
      </c>
      <c r="B16" s="29" t="s">
        <v>41</v>
      </c>
      <c r="C16" s="29" t="s">
        <v>43</v>
      </c>
      <c r="D16" s="39"/>
      <c r="E16" s="41" cm="1">
        <f t="array" aca="1" ref="E16" ca="1">IF(ISBLANK($C16),"",IF(($C16=(INDIRECT(E$2&amp;"!E"&amp;$T16))),(INDIRECT(E$2&amp;"!F"&amp;$T16)),0))</f>
        <v>2</v>
      </c>
      <c r="F16" s="42" cm="1">
        <f t="array" aca="1" ref="F16" ca="1">IF(ISBLANK($C16),"",IF(($C16=(INDIRECT(F$2&amp;"!E"&amp;$T16))),(INDIRECT(F$2&amp;"!F"&amp;$T16)),0))</f>
        <v>6</v>
      </c>
      <c r="G16" s="42" cm="1">
        <f t="array" aca="1" ref="G16" ca="1">IF(ISBLANK($C16),"",IF(($C16=(INDIRECT(G$2&amp;"!E"&amp;$T16))),(INDIRECT(G$2&amp;"!F"&amp;$T16)),0))</f>
        <v>0</v>
      </c>
      <c r="H16" s="42" cm="1">
        <f t="array" aca="1" ref="H16" ca="1">IF(ISBLANK($C16),"",IF(($C16=(INDIRECT(H$2&amp;"!E"&amp;$T16))),(INDIRECT(H$2&amp;"!F"&amp;$T16)),0))</f>
        <v>0</v>
      </c>
      <c r="I16" s="42" cm="1">
        <f t="array" aca="1" ref="I16" ca="1">IF(ISBLANK($C16),"",IF(($C16=(INDIRECT(I$2&amp;"!E"&amp;$T16))),(INDIRECT(I$2&amp;"!F"&amp;$T16)),0))</f>
        <v>0</v>
      </c>
      <c r="J16" s="42" cm="1">
        <f t="array" aca="1" ref="J16" ca="1">IF(ISBLANK($C16),"",IF(($C16=(INDIRECT(J$2&amp;"!E"&amp;$T16))),(INDIRECT(J$2&amp;"!F"&amp;$T16)),0))</f>
        <v>0</v>
      </c>
      <c r="K16" s="42" cm="1">
        <f t="array" aca="1" ref="K16" ca="1">IF(ISBLANK($C16),"",IF(($C16=(INDIRECT(K$2&amp;"!E"&amp;$T16))),(INDIRECT(K$2&amp;"!F"&amp;$T16)),0))</f>
        <v>0</v>
      </c>
      <c r="L16" s="42" cm="1">
        <f t="array" aca="1" ref="L16" ca="1">IF(ISBLANK($C16),"",IF(($C16=(INDIRECT(L$2&amp;"!E"&amp;$T16))),(INDIRECT(L$2&amp;"!F"&amp;$T16)),0))</f>
        <v>13</v>
      </c>
      <c r="M16" s="42" cm="1">
        <f t="array" aca="1" ref="M16" ca="1">IF(ISBLANK($C16),"",IF(($C16=(INDIRECT(M$2&amp;"!E"&amp;$T16))),(INDIRECT(M$2&amp;"!F"&amp;$T16)),0))</f>
        <v>9</v>
      </c>
      <c r="N16" s="42" cm="1">
        <f t="array" aca="1" ref="N16" ca="1">IF(ISBLANK($C16),"",IF(($C16=(INDIRECT(N$2&amp;"!E"&amp;$T16))),(INDIRECT(N$2&amp;"!F"&amp;$T16)),0))</f>
        <v>1</v>
      </c>
      <c r="O16" s="42" cm="1">
        <f t="array" aca="1" ref="O16" ca="1">IF(ISBLANK($C16),"",IF(($C16=(INDIRECT(O$2&amp;"!E"&amp;$T16))),(INDIRECT(O$2&amp;"!F"&amp;$T16)),0))</f>
        <v>12</v>
      </c>
      <c r="P16" s="42" cm="1">
        <f t="array" aca="1" ref="P16" ca="1">IF(ISBLANK($C16),"",IF(($C16=(INDIRECT(P$2&amp;"!E"&amp;$T16))),(INDIRECT(P$2&amp;"!F"&amp;$T16)),0))</f>
        <v>0</v>
      </c>
      <c r="Q16" s="42" cm="1">
        <f t="array" aca="1" ref="Q16" ca="1">IF(ISBLANK($C16),"",IF(($C16=(INDIRECT(Q$2&amp;"!E"&amp;$T16))),(INDIRECT(Q$2&amp;"!F"&amp;$T16)),0))</f>
        <v>0</v>
      </c>
      <c r="R16" s="42" cm="1">
        <f t="array" aca="1" ref="R16" ca="1">IF(ISBLANK($C16),"",IF(($C16=(INDIRECT(R$2&amp;"!E"&amp;$T16))),(INDIRECT(R$2&amp;"!F"&amp;$T16)),0))</f>
        <v>0</v>
      </c>
      <c r="S16" s="43" cm="1">
        <f t="array" aca="1" ref="S16" ca="1">IF(ISBLANK($C16),"",IF(($C16=(INDIRECT(S$2&amp;"!E"&amp;$T16))),(INDIRECT(S$2&amp;"!F"&amp;$T16)),0))</f>
        <v>16</v>
      </c>
      <c r="T16" s="50">
        <f t="shared" si="8"/>
        <v>15</v>
      </c>
      <c r="U16" s="78">
        <f t="shared" ca="1" si="2"/>
        <v>7</v>
      </c>
      <c r="V16" s="80">
        <f t="shared" ca="1" si="3"/>
        <v>8.4285714285714288</v>
      </c>
      <c r="W16" s="79" t="s">
        <v>41</v>
      </c>
      <c r="X16" s="86">
        <f t="shared" ca="1" si="4"/>
        <v>8</v>
      </c>
      <c r="Y16" s="87">
        <f t="shared" ca="1" si="5"/>
        <v>17</v>
      </c>
      <c r="Z16" s="79" t="s">
        <v>41</v>
      </c>
      <c r="AA16" t="str" cm="1">
        <f t="array" aca="1" ref="AA16" ca="1">IF(ISBLANK($C16),"",IF(E16=0,INDIRECT(E$2&amp;"!F"&amp;$T16),""))</f>
        <v/>
      </c>
      <c r="AB16" t="str" cm="1">
        <f t="array" aca="1" ref="AB16" ca="1">IF(ISBLANK($C16),"",IF(F16=0,INDIRECT(F$2&amp;"!F"&amp;$T16),""))</f>
        <v/>
      </c>
      <c r="AC16" cm="1">
        <f t="array" aca="1" ref="AC16" ca="1">IF(ISBLANK($C16),"",IF(G16=0,INDIRECT(G$2&amp;"!F"&amp;$T16),""))</f>
        <v>32</v>
      </c>
      <c r="AD16" cm="1">
        <f t="array" aca="1" ref="AD16" ca="1">IF(ISBLANK($C16),"",IF(H16=0,INDIRECT(H$2&amp;"!F"&amp;$T16),""))</f>
        <v>36</v>
      </c>
      <c r="AE16" cm="1">
        <f t="array" aca="1" ref="AE16" ca="1">IF(ISBLANK($C16),"",IF(I16=0,INDIRECT(I$2&amp;"!F"&amp;$T16),""))</f>
        <v>2</v>
      </c>
      <c r="AF16" cm="1">
        <f t="array" aca="1" ref="AF16" ca="1">IF(ISBLANK($C16),"",IF(J16=0,INDIRECT(J$2&amp;"!F"&amp;$T16),""))</f>
        <v>2</v>
      </c>
      <c r="AG16" cm="1">
        <f t="array" aca="1" ref="AG16" ca="1">IF(ISBLANK($C16),"",IF(K16=0,INDIRECT(K$2&amp;"!F"&amp;$T16),""))</f>
        <v>9</v>
      </c>
      <c r="AH16" t="str" cm="1">
        <f t="array" aca="1" ref="AH16" ca="1">IF(ISBLANK($C16),"",IF(L16=0,INDIRECT(L$2&amp;"!F"&amp;$T16),""))</f>
        <v/>
      </c>
      <c r="AI16" t="str" cm="1">
        <f t="array" aca="1" ref="AI16" ca="1">IF(ISBLANK($C16),"",IF(M16=0,INDIRECT(M$2&amp;"!F"&amp;$T16),""))</f>
        <v/>
      </c>
      <c r="AJ16" t="str" cm="1">
        <f t="array" aca="1" ref="AJ16" ca="1">IF(ISBLANK($C16),"",IF(N16=0,INDIRECT(N$2&amp;"!F"&amp;$T16),""))</f>
        <v/>
      </c>
      <c r="AK16" t="str" cm="1">
        <f t="array" aca="1" ref="AK16" ca="1">IF(ISBLANK($C16),"",IF(O16=0,INDIRECT(O$2&amp;"!F"&amp;$T16),""))</f>
        <v/>
      </c>
      <c r="AL16" cm="1">
        <f t="array" aca="1" ref="AL16" ca="1">IF(ISBLANK($C16),"",IF(P16=0,INDIRECT(P$2&amp;"!F"&amp;$T16),""))</f>
        <v>36</v>
      </c>
      <c r="AM16" cm="1">
        <f t="array" aca="1" ref="AM16" ca="1">IF(ISBLANK($C16),"",IF(Q16=0,INDIRECT(Q$2&amp;"!F"&amp;$T16),""))</f>
        <v>11</v>
      </c>
      <c r="AN16" cm="1">
        <f t="array" aca="1" ref="AN16" ca="1">IF(ISBLANK($C16),"",IF(R16=0,INDIRECT(R$2&amp;"!F"&amp;$T16),""))</f>
        <v>8</v>
      </c>
      <c r="AO16" t="str" cm="1">
        <f t="array" aca="1" ref="AO16" ca="1">IF(ISBLANK($C16),"",IF(S16=0,INDIRECT(S$2&amp;"!F"&amp;$T16),""))</f>
        <v/>
      </c>
      <c r="AP16">
        <f t="shared" ca="1" si="6"/>
        <v>8</v>
      </c>
      <c r="AQ16">
        <f t="shared" ca="1" si="7"/>
        <v>15</v>
      </c>
    </row>
    <row r="17" spans="1:43" ht="15.5" x14ac:dyDescent="0.35">
      <c r="A17" s="28">
        <v>43825</v>
      </c>
      <c r="B17" s="29" t="s">
        <v>44</v>
      </c>
      <c r="C17" s="29" t="s">
        <v>45</v>
      </c>
      <c r="D17" s="39"/>
      <c r="E17" s="41" cm="1">
        <f t="array" aca="1" ref="E17" ca="1">IF(ISBLANK($C17),"",IF(($C17=(INDIRECT(E$2&amp;"!E"&amp;$T17))),(INDIRECT(E$2&amp;"!F"&amp;$T17)),0))</f>
        <v>24</v>
      </c>
      <c r="F17" s="42" cm="1">
        <f t="array" aca="1" ref="F17" ca="1">IF(ISBLANK($C17),"",IF(($C17=(INDIRECT(F$2&amp;"!E"&amp;$T17))),(INDIRECT(F$2&amp;"!F"&amp;$T17)),0))</f>
        <v>35</v>
      </c>
      <c r="G17" s="42" cm="1">
        <f t="array" aca="1" ref="G17" ca="1">IF(ISBLANK($C17),"",IF(($C17=(INDIRECT(G$2&amp;"!E"&amp;$T17))),(INDIRECT(G$2&amp;"!F"&amp;$T17)),0))</f>
        <v>35</v>
      </c>
      <c r="H17" s="42" cm="1">
        <f t="array" aca="1" ref="H17" ca="1">IF(ISBLANK($C17),"",IF(($C17=(INDIRECT(H$2&amp;"!E"&amp;$T17))),(INDIRECT(H$2&amp;"!F"&amp;$T17)),0))</f>
        <v>33</v>
      </c>
      <c r="I17" s="42" cm="1">
        <f t="array" aca="1" ref="I17" ca="1">IF(ISBLANK($C17),"",IF(($C17=(INDIRECT(I$2&amp;"!E"&amp;$T17))),(INDIRECT(I$2&amp;"!F"&amp;$T17)),0))</f>
        <v>31</v>
      </c>
      <c r="J17" s="42" cm="1">
        <f t="array" aca="1" ref="J17" ca="1">IF(ISBLANK($C17),"",IF(($C17=(INDIRECT(J$2&amp;"!E"&amp;$T17))),(INDIRECT(J$2&amp;"!F"&amp;$T17)),0))</f>
        <v>33</v>
      </c>
      <c r="K17" s="42" cm="1">
        <f t="array" aca="1" ref="K17" ca="1">IF(ISBLANK($C17),"",IF(($C17=(INDIRECT(K$2&amp;"!E"&amp;$T17))),(INDIRECT(K$2&amp;"!F"&amp;$T17)),0))</f>
        <v>15</v>
      </c>
      <c r="L17" s="42" cm="1">
        <f t="array" aca="1" ref="L17" ca="1">IF(ISBLANK($C17),"",IF(($C17=(INDIRECT(L$2&amp;"!E"&amp;$T17))),(INDIRECT(L$2&amp;"!F"&amp;$T17)),0))</f>
        <v>36</v>
      </c>
      <c r="M17" s="42" cm="1">
        <f t="array" aca="1" ref="M17" ca="1">IF(ISBLANK($C17),"",IF(($C17=(INDIRECT(M$2&amp;"!E"&amp;$T17))),(INDIRECT(M$2&amp;"!F"&amp;$T17)),0))</f>
        <v>35</v>
      </c>
      <c r="N17" s="42" cm="1">
        <f t="array" aca="1" ref="N17" ca="1">IF(ISBLANK($C17),"",IF(($C17=(INDIRECT(N$2&amp;"!E"&amp;$T17))),(INDIRECT(N$2&amp;"!F"&amp;$T17)),0))</f>
        <v>25</v>
      </c>
      <c r="O17" s="42" cm="1">
        <f t="array" aca="1" ref="O17" ca="1">IF(ISBLANK($C17),"",IF(($C17=(INDIRECT(O$2&amp;"!E"&amp;$T17))),(INDIRECT(O$2&amp;"!F"&amp;$T17)),0))</f>
        <v>0</v>
      </c>
      <c r="P17" s="42" cm="1">
        <f t="array" aca="1" ref="P17" ca="1">IF(ISBLANK($C17),"",IF(($C17=(INDIRECT(P$2&amp;"!E"&amp;$T17))),(INDIRECT(P$2&amp;"!F"&amp;$T17)),0))</f>
        <v>3</v>
      </c>
      <c r="Q17" s="42" cm="1">
        <f t="array" aca="1" ref="Q17" ca="1">IF(ISBLANK($C17),"",IF(($C17=(INDIRECT(Q$2&amp;"!E"&amp;$T17))),(INDIRECT(Q$2&amp;"!F"&amp;$T17)),0))</f>
        <v>0</v>
      </c>
      <c r="R17" s="42" cm="1">
        <f t="array" aca="1" ref="R17" ca="1">IF(ISBLANK($C17),"",IF(($C17=(INDIRECT(R$2&amp;"!E"&amp;$T17))),(INDIRECT(R$2&amp;"!F"&amp;$T17)),0))</f>
        <v>34</v>
      </c>
      <c r="S17" s="43" cm="1">
        <f t="array" aca="1" ref="S17" ca="1">IF(ISBLANK($C17),"",IF(($C17=(INDIRECT(S$2&amp;"!E"&amp;$T17))),(INDIRECT(S$2&amp;"!F"&amp;$T17)),0))</f>
        <v>32</v>
      </c>
      <c r="T17" s="50">
        <f t="shared" si="8"/>
        <v>16</v>
      </c>
      <c r="U17" s="78">
        <f t="shared" ca="1" si="2"/>
        <v>13</v>
      </c>
      <c r="V17" s="80">
        <f t="shared" ca="1" si="3"/>
        <v>28.53846153846154</v>
      </c>
      <c r="W17" s="79" t="s">
        <v>44</v>
      </c>
      <c r="X17" s="86">
        <f t="shared" ca="1" si="4"/>
        <v>2</v>
      </c>
      <c r="Y17" s="87">
        <f t="shared" ca="1" si="5"/>
        <v>25</v>
      </c>
      <c r="Z17" s="79" t="s">
        <v>44</v>
      </c>
      <c r="AA17" t="str" cm="1">
        <f t="array" aca="1" ref="AA17" ca="1">IF(ISBLANK($C17),"",IF(E17=0,INDIRECT(E$2&amp;"!F"&amp;$T17),""))</f>
        <v/>
      </c>
      <c r="AB17" t="str" cm="1">
        <f t="array" aca="1" ref="AB17" ca="1">IF(ISBLANK($C17),"",IF(F17=0,INDIRECT(F$2&amp;"!F"&amp;$T17),""))</f>
        <v/>
      </c>
      <c r="AC17" t="str" cm="1">
        <f t="array" aca="1" ref="AC17" ca="1">IF(ISBLANK($C17),"",IF(G17=0,INDIRECT(G$2&amp;"!F"&amp;$T17),""))</f>
        <v/>
      </c>
      <c r="AD17" t="str" cm="1">
        <f t="array" aca="1" ref="AD17" ca="1">IF(ISBLANK($C17),"",IF(H17=0,INDIRECT(H$2&amp;"!F"&amp;$T17),""))</f>
        <v/>
      </c>
      <c r="AE17" t="str" cm="1">
        <f t="array" aca="1" ref="AE17" ca="1">IF(ISBLANK($C17),"",IF(I17=0,INDIRECT(I$2&amp;"!F"&amp;$T17),""))</f>
        <v/>
      </c>
      <c r="AF17" t="str" cm="1">
        <f t="array" aca="1" ref="AF17" ca="1">IF(ISBLANK($C17),"",IF(J17=0,INDIRECT(J$2&amp;"!F"&amp;$T17),""))</f>
        <v/>
      </c>
      <c r="AG17" t="str" cm="1">
        <f t="array" aca="1" ref="AG17" ca="1">IF(ISBLANK($C17),"",IF(K17=0,INDIRECT(K$2&amp;"!F"&amp;$T17),""))</f>
        <v/>
      </c>
      <c r="AH17" t="str" cm="1">
        <f t="array" aca="1" ref="AH17" ca="1">IF(ISBLANK($C17),"",IF(L17=0,INDIRECT(L$2&amp;"!F"&amp;$T17),""))</f>
        <v/>
      </c>
      <c r="AI17" t="str" cm="1">
        <f t="array" aca="1" ref="AI17" ca="1">IF(ISBLANK($C17),"",IF(M17=0,INDIRECT(M$2&amp;"!F"&amp;$T17),""))</f>
        <v/>
      </c>
      <c r="AJ17" t="str" cm="1">
        <f t="array" aca="1" ref="AJ17" ca="1">IF(ISBLANK($C17),"",IF(N17=0,INDIRECT(N$2&amp;"!F"&amp;$T17),""))</f>
        <v/>
      </c>
      <c r="AK17" cm="1">
        <f t="array" aca="1" ref="AK17" ca="1">IF(ISBLANK($C17),"",IF(O17=0,INDIRECT(O$2&amp;"!F"&amp;$T17),""))</f>
        <v>30</v>
      </c>
      <c r="AL17" t="str" cm="1">
        <f t="array" aca="1" ref="AL17" ca="1">IF(ISBLANK($C17),"",IF(P17=0,INDIRECT(P$2&amp;"!F"&amp;$T17),""))</f>
        <v/>
      </c>
      <c r="AM17" cm="1">
        <f t="array" aca="1" ref="AM17" ca="1">IF(ISBLANK($C17),"",IF(Q17=0,INDIRECT(Q$2&amp;"!F"&amp;$T17),""))</f>
        <v>20</v>
      </c>
      <c r="AN17" t="str" cm="1">
        <f t="array" aca="1" ref="AN17" ca="1">IF(ISBLANK($C17),"",IF(R17=0,INDIRECT(R$2&amp;"!F"&amp;$T17),""))</f>
        <v/>
      </c>
      <c r="AO17" t="str" cm="1">
        <f t="array" aca="1" ref="AO17" ca="1">IF(ISBLANK($C17),"",IF(S17=0,INDIRECT(S$2&amp;"!F"&amp;$T17),""))</f>
        <v/>
      </c>
      <c r="AP17">
        <f t="shared" ca="1" si="6"/>
        <v>2</v>
      </c>
      <c r="AQ17">
        <f t="shared" ca="1" si="7"/>
        <v>15</v>
      </c>
    </row>
    <row r="18" spans="1:43" ht="15.5" x14ac:dyDescent="0.35">
      <c r="A18" s="28">
        <v>43826</v>
      </c>
      <c r="B18" s="29" t="s">
        <v>47</v>
      </c>
      <c r="C18" s="29" t="s">
        <v>48</v>
      </c>
      <c r="D18" s="39"/>
      <c r="E18" s="41" cm="1">
        <f t="array" aca="1" ref="E18" ca="1">IF(ISBLANK($C18),"",IF(($C18=(INDIRECT(E$2&amp;"!E"&amp;$T18))),(INDIRECT(E$2&amp;"!F"&amp;$T18)),0))</f>
        <v>27</v>
      </c>
      <c r="F18" s="42" cm="1">
        <f t="array" aca="1" ref="F18" ca="1">IF(ISBLANK($C18),"",IF(($C18=(INDIRECT(F$2&amp;"!E"&amp;$T18))),(INDIRECT(F$2&amp;"!F"&amp;$T18)),0))</f>
        <v>18</v>
      </c>
      <c r="G18" s="42" cm="1">
        <f t="array" aca="1" ref="G18" ca="1">IF(ISBLANK($C18),"",IF(($C18=(INDIRECT(G$2&amp;"!E"&amp;$T18))),(INDIRECT(G$2&amp;"!F"&amp;$T18)),0))</f>
        <v>0</v>
      </c>
      <c r="H18" s="42" cm="1">
        <f t="array" aca="1" ref="H18" ca="1">IF(ISBLANK($C18),"",IF(($C18=(INDIRECT(H$2&amp;"!E"&amp;$T18))),(INDIRECT(H$2&amp;"!F"&amp;$T18)),0))</f>
        <v>27</v>
      </c>
      <c r="I18" s="42" cm="1">
        <f t="array" aca="1" ref="I18" ca="1">IF(ISBLANK($C18),"",IF(($C18=(INDIRECT(I$2&amp;"!E"&amp;$T18))),(INDIRECT(I$2&amp;"!F"&amp;$T18)),0))</f>
        <v>7</v>
      </c>
      <c r="J18" s="42" cm="1">
        <f t="array" aca="1" ref="J18" ca="1">IF(ISBLANK($C18),"",IF(($C18=(INDIRECT(J$2&amp;"!E"&amp;$T18))),(INDIRECT(J$2&amp;"!F"&amp;$T18)),0))</f>
        <v>1</v>
      </c>
      <c r="K18" s="42" cm="1">
        <f t="array" aca="1" ref="K18" ca="1">IF(ISBLANK($C18),"",IF(($C18=(INDIRECT(K$2&amp;"!E"&amp;$T18))),(INDIRECT(K$2&amp;"!F"&amp;$T18)),0))</f>
        <v>4</v>
      </c>
      <c r="L18" s="42" cm="1">
        <f t="array" aca="1" ref="L18" ca="1">IF(ISBLANK($C18),"",IF(($C18=(INDIRECT(L$2&amp;"!E"&amp;$T18))),(INDIRECT(L$2&amp;"!F"&amp;$T18)),0))</f>
        <v>21</v>
      </c>
      <c r="M18" s="42" cm="1">
        <f t="array" aca="1" ref="M18" ca="1">IF(ISBLANK($C18),"",IF(($C18=(INDIRECT(M$2&amp;"!E"&amp;$T18))),(INDIRECT(M$2&amp;"!F"&amp;$T18)),0))</f>
        <v>0</v>
      </c>
      <c r="N18" s="42" cm="1">
        <f t="array" aca="1" ref="N18" ca="1">IF(ISBLANK($C18),"",IF(($C18=(INDIRECT(N$2&amp;"!E"&amp;$T18))),(INDIRECT(N$2&amp;"!F"&amp;$T18)),0))</f>
        <v>8</v>
      </c>
      <c r="O18" s="42" cm="1">
        <f t="array" aca="1" ref="O18" ca="1">IF(ISBLANK($C18),"",IF(($C18=(INDIRECT(O$2&amp;"!E"&amp;$T18))),(INDIRECT(O$2&amp;"!F"&amp;$T18)),0))</f>
        <v>6</v>
      </c>
      <c r="P18" s="42" cm="1">
        <f t="array" aca="1" ref="P18" ca="1">IF(ISBLANK($C18),"",IF(($C18=(INDIRECT(P$2&amp;"!E"&amp;$T18))),(INDIRECT(P$2&amp;"!F"&amp;$T18)),0))</f>
        <v>0</v>
      </c>
      <c r="Q18" s="42" cm="1">
        <f t="array" aca="1" ref="Q18" ca="1">IF(ISBLANK($C18),"",IF(($C18=(INDIRECT(Q$2&amp;"!E"&amp;$T18))),(INDIRECT(Q$2&amp;"!F"&amp;$T18)),0))</f>
        <v>0</v>
      </c>
      <c r="R18" s="42" cm="1">
        <f t="array" aca="1" ref="R18" ca="1">IF(ISBLANK($C18),"",IF(($C18=(INDIRECT(R$2&amp;"!E"&amp;$T18))),(INDIRECT(R$2&amp;"!F"&amp;$T18)),0))</f>
        <v>9</v>
      </c>
      <c r="S18" s="43" cm="1">
        <f t="array" aca="1" ref="S18" ca="1">IF(ISBLANK($C18),"",IF(($C18=(INDIRECT(S$2&amp;"!E"&amp;$T18))),(INDIRECT(S$2&amp;"!F"&amp;$T18)),0))</f>
        <v>0</v>
      </c>
      <c r="T18" s="50">
        <f t="shared" si="8"/>
        <v>17</v>
      </c>
      <c r="U18" s="78">
        <f t="shared" ca="1" si="2"/>
        <v>10</v>
      </c>
      <c r="V18" s="80">
        <f t="shared" ca="1" si="3"/>
        <v>12.8</v>
      </c>
      <c r="W18" s="79" t="s">
        <v>47</v>
      </c>
      <c r="X18" s="86">
        <f t="shared" ca="1" si="4"/>
        <v>5</v>
      </c>
      <c r="Y18" s="87">
        <f t="shared" ca="1" si="5"/>
        <v>10</v>
      </c>
      <c r="Z18" s="79" t="s">
        <v>47</v>
      </c>
      <c r="AA18" t="str" cm="1">
        <f t="array" aca="1" ref="AA18" ca="1">IF(ISBLANK($C18),"",IF(E18=0,INDIRECT(E$2&amp;"!F"&amp;$T18),""))</f>
        <v/>
      </c>
      <c r="AB18" t="str" cm="1">
        <f t="array" aca="1" ref="AB18" ca="1">IF(ISBLANK($C18),"",IF(F18=0,INDIRECT(F$2&amp;"!F"&amp;$T18),""))</f>
        <v/>
      </c>
      <c r="AC18" cm="1">
        <f t="array" aca="1" ref="AC18" ca="1">IF(ISBLANK($C18),"",IF(G18=0,INDIRECT(G$2&amp;"!F"&amp;$T18),""))</f>
        <v>10</v>
      </c>
      <c r="AD18" t="str" cm="1">
        <f t="array" aca="1" ref="AD18" ca="1">IF(ISBLANK($C18),"",IF(H18=0,INDIRECT(H$2&amp;"!F"&amp;$T18),""))</f>
        <v/>
      </c>
      <c r="AE18" t="str" cm="1">
        <f t="array" aca="1" ref="AE18" ca="1">IF(ISBLANK($C18),"",IF(I18=0,INDIRECT(I$2&amp;"!F"&amp;$T18),""))</f>
        <v/>
      </c>
      <c r="AF18" t="str" cm="1">
        <f t="array" aca="1" ref="AF18" ca="1">IF(ISBLANK($C18),"",IF(J18=0,INDIRECT(J$2&amp;"!F"&amp;$T18),""))</f>
        <v/>
      </c>
      <c r="AG18" t="str" cm="1">
        <f t="array" aca="1" ref="AG18" ca="1">IF(ISBLANK($C18),"",IF(K18=0,INDIRECT(K$2&amp;"!F"&amp;$T18),""))</f>
        <v/>
      </c>
      <c r="AH18" t="str" cm="1">
        <f t="array" aca="1" ref="AH18" ca="1">IF(ISBLANK($C18),"",IF(L18=0,INDIRECT(L$2&amp;"!F"&amp;$T18),""))</f>
        <v/>
      </c>
      <c r="AI18" cm="1">
        <f t="array" aca="1" ref="AI18" ca="1">IF(ISBLANK($C18),"",IF(M18=0,INDIRECT(M$2&amp;"!F"&amp;$T18),""))</f>
        <v>4</v>
      </c>
      <c r="AJ18" t="str" cm="1">
        <f t="array" aca="1" ref="AJ18" ca="1">IF(ISBLANK($C18),"",IF(N18=0,INDIRECT(N$2&amp;"!F"&amp;$T18),""))</f>
        <v/>
      </c>
      <c r="AK18" t="str" cm="1">
        <f t="array" aca="1" ref="AK18" ca="1">IF(ISBLANK($C18),"",IF(O18=0,INDIRECT(O$2&amp;"!F"&amp;$T18),""))</f>
        <v/>
      </c>
      <c r="AL18" cm="1">
        <f t="array" aca="1" ref="AL18" ca="1">IF(ISBLANK($C18),"",IF(P18=0,INDIRECT(P$2&amp;"!F"&amp;$T18),""))</f>
        <v>4</v>
      </c>
      <c r="AM18" cm="1">
        <f t="array" aca="1" ref="AM18" ca="1">IF(ISBLANK($C18),"",IF(Q18=0,INDIRECT(Q$2&amp;"!F"&amp;$T18),""))</f>
        <v>8</v>
      </c>
      <c r="AN18" t="str" cm="1">
        <f t="array" aca="1" ref="AN18" ca="1">IF(ISBLANK($C18),"",IF(R18=0,INDIRECT(R$2&amp;"!F"&amp;$T18),""))</f>
        <v/>
      </c>
      <c r="AO18" cm="1">
        <f t="array" aca="1" ref="AO18" ca="1">IF(ISBLANK($C18),"",IF(S18=0,INDIRECT(S$2&amp;"!F"&amp;$T18),""))</f>
        <v>24</v>
      </c>
      <c r="AP18">
        <f t="shared" ca="1" si="6"/>
        <v>5</v>
      </c>
      <c r="AQ18">
        <f t="shared" ca="1" si="7"/>
        <v>15</v>
      </c>
    </row>
    <row r="19" spans="1:43" ht="15.5" x14ac:dyDescent="0.35">
      <c r="A19" s="28">
        <v>43826</v>
      </c>
      <c r="B19" s="29" t="s">
        <v>50</v>
      </c>
      <c r="C19" s="29" t="s">
        <v>52</v>
      </c>
      <c r="D19" s="39"/>
      <c r="E19" s="41" cm="1">
        <f t="array" aca="1" ref="E19" ca="1">IF(ISBLANK($C19),"",IF(($C19=(INDIRECT(E$2&amp;"!E"&amp;$T19))),(INDIRECT(E$2&amp;"!F"&amp;$T19)),0))</f>
        <v>15</v>
      </c>
      <c r="F19" s="42" cm="1">
        <f t="array" aca="1" ref="F19" ca="1">IF(ISBLANK($C19),"",IF(($C19=(INDIRECT(F$2&amp;"!E"&amp;$T19))),(INDIRECT(F$2&amp;"!F"&amp;$T19)),0))</f>
        <v>0</v>
      </c>
      <c r="G19" s="42" cm="1">
        <f t="array" aca="1" ref="G19" ca="1">IF(ISBLANK($C19),"",IF(($C19=(INDIRECT(G$2&amp;"!E"&amp;$T19))),(INDIRECT(G$2&amp;"!F"&amp;$T19)),0))</f>
        <v>0</v>
      </c>
      <c r="H19" s="42" cm="1">
        <f t="array" aca="1" ref="H19" ca="1">IF(ISBLANK($C19),"",IF(($C19=(INDIRECT(H$2&amp;"!E"&amp;$T19))),(INDIRECT(H$2&amp;"!F"&amp;$T19)),0))</f>
        <v>22</v>
      </c>
      <c r="I19" s="42" cm="1">
        <f t="array" aca="1" ref="I19" ca="1">IF(ISBLANK($C19),"",IF(($C19=(INDIRECT(I$2&amp;"!E"&amp;$T19))),(INDIRECT(I$2&amp;"!F"&amp;$T19)),0))</f>
        <v>0</v>
      </c>
      <c r="J19" s="42" cm="1">
        <f t="array" aca="1" ref="J19" ca="1">IF(ISBLANK($C19),"",IF(($C19=(INDIRECT(J$2&amp;"!E"&amp;$T19))),(INDIRECT(J$2&amp;"!F"&amp;$T19)),0))</f>
        <v>12</v>
      </c>
      <c r="K19" s="42" cm="1">
        <f t="array" aca="1" ref="K19" ca="1">IF(ISBLANK($C19),"",IF(($C19=(INDIRECT(K$2&amp;"!E"&amp;$T19))),(INDIRECT(K$2&amp;"!F"&amp;$T19)),0))</f>
        <v>1</v>
      </c>
      <c r="L19" s="42" cm="1">
        <f t="array" aca="1" ref="L19" ca="1">IF(ISBLANK($C19),"",IF(($C19=(INDIRECT(L$2&amp;"!E"&amp;$T19))),(INDIRECT(L$2&amp;"!F"&amp;$T19)),0))</f>
        <v>12</v>
      </c>
      <c r="M19" s="42" cm="1">
        <f t="array" aca="1" ref="M19" ca="1">IF(ISBLANK($C19),"",IF(($C19=(INDIRECT(M$2&amp;"!E"&amp;$T19))),(INDIRECT(M$2&amp;"!F"&amp;$T19)),0))</f>
        <v>0</v>
      </c>
      <c r="N19" s="42" cm="1">
        <f t="array" aca="1" ref="N19" ca="1">IF(ISBLANK($C19),"",IF(($C19=(INDIRECT(N$2&amp;"!E"&amp;$T19))),(INDIRECT(N$2&amp;"!F"&amp;$T19)),0))</f>
        <v>11</v>
      </c>
      <c r="O19" s="42" cm="1">
        <f t="array" aca="1" ref="O19" ca="1">IF(ISBLANK($C19),"",IF(($C19=(INDIRECT(O$2&amp;"!E"&amp;$T19))),(INDIRECT(O$2&amp;"!F"&amp;$T19)),0))</f>
        <v>34</v>
      </c>
      <c r="P19" s="42" cm="1">
        <f t="array" aca="1" ref="P19" ca="1">IF(ISBLANK($C19),"",IF(($C19=(INDIRECT(P$2&amp;"!E"&amp;$T19))),(INDIRECT(P$2&amp;"!F"&amp;$T19)),0))</f>
        <v>37</v>
      </c>
      <c r="Q19" s="42" cm="1">
        <f t="array" aca="1" ref="Q19" ca="1">IF(ISBLANK($C19),"",IF(($C19=(INDIRECT(Q$2&amp;"!E"&amp;$T19))),(INDIRECT(Q$2&amp;"!F"&amp;$T19)),0))</f>
        <v>0</v>
      </c>
      <c r="R19" s="42" cm="1">
        <f t="array" aca="1" ref="R19" ca="1">IF(ISBLANK($C19),"",IF(($C19=(INDIRECT(R$2&amp;"!E"&amp;$T19))),(INDIRECT(R$2&amp;"!F"&amp;$T19)),0))</f>
        <v>1</v>
      </c>
      <c r="S19" s="43" cm="1">
        <f t="array" aca="1" ref="S19" ca="1">IF(ISBLANK($C19),"",IF(($C19=(INDIRECT(S$2&amp;"!E"&amp;$T19))),(INDIRECT(S$2&amp;"!F"&amp;$T19)),0))</f>
        <v>0</v>
      </c>
      <c r="T19" s="50">
        <f t="shared" si="8"/>
        <v>18</v>
      </c>
      <c r="U19" s="78">
        <f t="shared" ca="1" si="2"/>
        <v>9</v>
      </c>
      <c r="V19" s="80">
        <f t="shared" ca="1" si="3"/>
        <v>16.111111111111111</v>
      </c>
      <c r="W19" s="79" t="s">
        <v>50</v>
      </c>
      <c r="X19" s="86">
        <f t="shared" ca="1" si="4"/>
        <v>6</v>
      </c>
      <c r="Y19" s="87">
        <f t="shared" ca="1" si="5"/>
        <v>15.166666666666666</v>
      </c>
      <c r="Z19" s="79" t="s">
        <v>50</v>
      </c>
      <c r="AA19" t="str" cm="1">
        <f t="array" aca="1" ref="AA19" ca="1">IF(ISBLANK($C19),"",IF(E19=0,INDIRECT(E$2&amp;"!F"&amp;$T19),""))</f>
        <v/>
      </c>
      <c r="AB19" cm="1">
        <f t="array" aca="1" ref="AB19" ca="1">IF(ISBLANK($C19),"",IF(F19=0,INDIRECT(F$2&amp;"!F"&amp;$T19),""))</f>
        <v>12</v>
      </c>
      <c r="AC19" cm="1">
        <f t="array" aca="1" ref="AC19" ca="1">IF(ISBLANK($C19),"",IF(G19=0,INDIRECT(G$2&amp;"!F"&amp;$T19),""))</f>
        <v>29</v>
      </c>
      <c r="AD19" t="str" cm="1">
        <f t="array" aca="1" ref="AD19" ca="1">IF(ISBLANK($C19),"",IF(H19=0,INDIRECT(H$2&amp;"!F"&amp;$T19),""))</f>
        <v/>
      </c>
      <c r="AE19" cm="1">
        <f t="array" aca="1" ref="AE19" ca="1">IF(ISBLANK($C19),"",IF(I19=0,INDIRECT(I$2&amp;"!F"&amp;$T19),""))</f>
        <v>11</v>
      </c>
      <c r="AF19" t="str" cm="1">
        <f t="array" aca="1" ref="AF19" ca="1">IF(ISBLANK($C19),"",IF(J19=0,INDIRECT(J$2&amp;"!F"&amp;$T19),""))</f>
        <v/>
      </c>
      <c r="AG19" t="str" cm="1">
        <f t="array" aca="1" ref="AG19" ca="1">IF(ISBLANK($C19),"",IF(K19=0,INDIRECT(K$2&amp;"!F"&amp;$T19),""))</f>
        <v/>
      </c>
      <c r="AH19" t="str" cm="1">
        <f t="array" aca="1" ref="AH19" ca="1">IF(ISBLANK($C19),"",IF(L19=0,INDIRECT(L$2&amp;"!F"&amp;$T19),""))</f>
        <v/>
      </c>
      <c r="AI19" cm="1">
        <f t="array" aca="1" ref="AI19" ca="1">IF(ISBLANK($C19),"",IF(M19=0,INDIRECT(M$2&amp;"!F"&amp;$T19),""))</f>
        <v>21</v>
      </c>
      <c r="AJ19" t="str" cm="1">
        <f t="array" aca="1" ref="AJ19" ca="1">IF(ISBLANK($C19),"",IF(N19=0,INDIRECT(N$2&amp;"!F"&amp;$T19),""))</f>
        <v/>
      </c>
      <c r="AK19" t="str" cm="1">
        <f t="array" aca="1" ref="AK19" ca="1">IF(ISBLANK($C19),"",IF(O19=0,INDIRECT(O$2&amp;"!F"&amp;$T19),""))</f>
        <v/>
      </c>
      <c r="AL19" t="str" cm="1">
        <f t="array" aca="1" ref="AL19" ca="1">IF(ISBLANK($C19),"",IF(P19=0,INDIRECT(P$2&amp;"!F"&amp;$T19),""))</f>
        <v/>
      </c>
      <c r="AM19" cm="1">
        <f t="array" aca="1" ref="AM19" ca="1">IF(ISBLANK($C19),"",IF(Q19=0,INDIRECT(Q$2&amp;"!F"&amp;$T19),""))</f>
        <v>9</v>
      </c>
      <c r="AN19" t="str" cm="1">
        <f t="array" aca="1" ref="AN19" ca="1">IF(ISBLANK($C19),"",IF(R19=0,INDIRECT(R$2&amp;"!F"&amp;$T19),""))</f>
        <v/>
      </c>
      <c r="AO19" cm="1">
        <f t="array" aca="1" ref="AO19" ca="1">IF(ISBLANK($C19),"",IF(S19=0,INDIRECT(S$2&amp;"!F"&amp;$T19),""))</f>
        <v>9</v>
      </c>
      <c r="AP19">
        <f t="shared" ca="1" si="6"/>
        <v>6</v>
      </c>
      <c r="AQ19">
        <f t="shared" ca="1" si="7"/>
        <v>15</v>
      </c>
    </row>
    <row r="20" spans="1:43" ht="15.5" x14ac:dyDescent="0.35">
      <c r="A20" s="28">
        <v>43826</v>
      </c>
      <c r="B20" s="29" t="s">
        <v>53</v>
      </c>
      <c r="C20" s="29" t="s">
        <v>55</v>
      </c>
      <c r="D20" s="39"/>
      <c r="E20" s="41" cm="1">
        <f t="array" aca="1" ref="E20" ca="1">IF(ISBLANK($C20),"",IF(($C20=(INDIRECT(E$2&amp;"!E"&amp;$T20))),(INDIRECT(E$2&amp;"!F"&amp;$T20)),0))</f>
        <v>32</v>
      </c>
      <c r="F20" s="42" cm="1">
        <f t="array" aca="1" ref="F20" ca="1">IF(ISBLANK($C20),"",IF(($C20=(INDIRECT(F$2&amp;"!E"&amp;$T20))),(INDIRECT(F$2&amp;"!F"&amp;$T20)),0))</f>
        <v>28</v>
      </c>
      <c r="G20" s="42" cm="1">
        <f t="array" aca="1" ref="G20" ca="1">IF(ISBLANK($C20),"",IF(($C20=(INDIRECT(G$2&amp;"!E"&amp;$T20))),(INDIRECT(G$2&amp;"!F"&amp;$T20)),0))</f>
        <v>31</v>
      </c>
      <c r="H20" s="42" cm="1">
        <f t="array" aca="1" ref="H20" ca="1">IF(ISBLANK($C20),"",IF(($C20=(INDIRECT(H$2&amp;"!E"&amp;$T20))),(INDIRECT(H$2&amp;"!F"&amp;$T20)),0))</f>
        <v>19</v>
      </c>
      <c r="I20" s="42" cm="1">
        <f t="array" aca="1" ref="I20" ca="1">IF(ISBLANK($C20),"",IF(($C20=(INDIRECT(I$2&amp;"!E"&amp;$T20))),(INDIRECT(I$2&amp;"!F"&amp;$T20)),0))</f>
        <v>0</v>
      </c>
      <c r="J20" s="42" cm="1">
        <f t="array" aca="1" ref="J20" ca="1">IF(ISBLANK($C20),"",IF(($C20=(INDIRECT(J$2&amp;"!E"&amp;$T20))),(INDIRECT(J$2&amp;"!F"&amp;$T20)),0))</f>
        <v>25</v>
      </c>
      <c r="K20" s="42" cm="1">
        <f t="array" aca="1" ref="K20" ca="1">IF(ISBLANK($C20),"",IF(($C20=(INDIRECT(K$2&amp;"!E"&amp;$T20))),(INDIRECT(K$2&amp;"!F"&amp;$T20)),0))</f>
        <v>0</v>
      </c>
      <c r="L20" s="42" cm="1">
        <f t="array" aca="1" ref="L20" ca="1">IF(ISBLANK($C20),"",IF(($C20=(INDIRECT(L$2&amp;"!E"&amp;$T20))),(INDIRECT(L$2&amp;"!F"&amp;$T20)),0))</f>
        <v>14</v>
      </c>
      <c r="M20" s="42" cm="1">
        <f t="array" aca="1" ref="M20" ca="1">IF(ISBLANK($C20),"",IF(($C20=(INDIRECT(M$2&amp;"!E"&amp;$T20))),(INDIRECT(M$2&amp;"!F"&amp;$T20)),0))</f>
        <v>0</v>
      </c>
      <c r="N20" s="42" cm="1">
        <f t="array" aca="1" ref="N20" ca="1">IF(ISBLANK($C20),"",IF(($C20=(INDIRECT(N$2&amp;"!E"&amp;$T20))),(INDIRECT(N$2&amp;"!F"&amp;$T20)),0))</f>
        <v>0</v>
      </c>
      <c r="O20" s="42" cm="1">
        <f t="array" aca="1" ref="O20" ca="1">IF(ISBLANK($C20),"",IF(($C20=(INDIRECT(O$2&amp;"!E"&amp;$T20))),(INDIRECT(O$2&amp;"!F"&amp;$T20)),0))</f>
        <v>0</v>
      </c>
      <c r="P20" s="42" cm="1">
        <f t="array" aca="1" ref="P20" ca="1">IF(ISBLANK($C20),"",IF(($C20=(INDIRECT(P$2&amp;"!E"&amp;$T20))),(INDIRECT(P$2&amp;"!F"&amp;$T20)),0))</f>
        <v>0</v>
      </c>
      <c r="Q20" s="42" cm="1">
        <f t="array" aca="1" ref="Q20" ca="1">IF(ISBLANK($C20),"",IF(($C20=(INDIRECT(Q$2&amp;"!E"&amp;$T20))),(INDIRECT(Q$2&amp;"!F"&amp;$T20)),0))</f>
        <v>13</v>
      </c>
      <c r="R20" s="42" cm="1">
        <f t="array" aca="1" ref="R20" ca="1">IF(ISBLANK($C20),"",IF(($C20=(INDIRECT(R$2&amp;"!E"&amp;$T20))),(INDIRECT(R$2&amp;"!F"&amp;$T20)),0))</f>
        <v>25</v>
      </c>
      <c r="S20" s="43" cm="1">
        <f t="array" aca="1" ref="S20" ca="1">IF(ISBLANK($C20),"",IF(($C20=(INDIRECT(S$2&amp;"!E"&amp;$T20))),(INDIRECT(S$2&amp;"!F"&amp;$T20)),0))</f>
        <v>0</v>
      </c>
      <c r="T20" s="50">
        <f t="shared" si="8"/>
        <v>19</v>
      </c>
      <c r="U20" s="78">
        <f t="shared" ca="1" si="2"/>
        <v>8</v>
      </c>
      <c r="V20" s="80">
        <f t="shared" ca="1" si="3"/>
        <v>23.375</v>
      </c>
      <c r="W20" s="79" t="s">
        <v>53</v>
      </c>
      <c r="X20" s="86">
        <f t="shared" ca="1" si="4"/>
        <v>7</v>
      </c>
      <c r="Y20" s="87">
        <f t="shared" ca="1" si="5"/>
        <v>17.857142857142858</v>
      </c>
      <c r="Z20" s="79" t="s">
        <v>53</v>
      </c>
      <c r="AA20" t="str" cm="1">
        <f t="array" aca="1" ref="AA20" ca="1">IF(ISBLANK($C20),"",IF(E20=0,INDIRECT(E$2&amp;"!F"&amp;$T20),""))</f>
        <v/>
      </c>
      <c r="AB20" t="str" cm="1">
        <f t="array" aca="1" ref="AB20" ca="1">IF(ISBLANK($C20),"",IF(F20=0,INDIRECT(F$2&amp;"!F"&amp;$T20),""))</f>
        <v/>
      </c>
      <c r="AC20" t="str" cm="1">
        <f t="array" aca="1" ref="AC20" ca="1">IF(ISBLANK($C20),"",IF(G20=0,INDIRECT(G$2&amp;"!F"&amp;$T20),""))</f>
        <v/>
      </c>
      <c r="AD20" t="str" cm="1">
        <f t="array" aca="1" ref="AD20" ca="1">IF(ISBLANK($C20),"",IF(H20=0,INDIRECT(H$2&amp;"!F"&amp;$T20),""))</f>
        <v/>
      </c>
      <c r="AE20" cm="1">
        <f t="array" aca="1" ref="AE20" ca="1">IF(ISBLANK($C20),"",IF(I20=0,INDIRECT(I$2&amp;"!F"&amp;$T20),""))</f>
        <v>8</v>
      </c>
      <c r="AF20" t="str" cm="1">
        <f t="array" aca="1" ref="AF20" ca="1">IF(ISBLANK($C20),"",IF(J20=0,INDIRECT(J$2&amp;"!F"&amp;$T20),""))</f>
        <v/>
      </c>
      <c r="AG20" cm="1">
        <f t="array" aca="1" ref="AG20" ca="1">IF(ISBLANK($C20),"",IF(K20=0,INDIRECT(K$2&amp;"!F"&amp;$T20),""))</f>
        <v>5</v>
      </c>
      <c r="AH20" t="str" cm="1">
        <f t="array" aca="1" ref="AH20" ca="1">IF(ISBLANK($C20),"",IF(L20=0,INDIRECT(L$2&amp;"!F"&amp;$T20),""))</f>
        <v/>
      </c>
      <c r="AI20" cm="1">
        <f t="array" aca="1" ref="AI20" ca="1">IF(ISBLANK($C20),"",IF(M20=0,INDIRECT(M$2&amp;"!F"&amp;$T20),""))</f>
        <v>13</v>
      </c>
      <c r="AJ20" cm="1">
        <f t="array" aca="1" ref="AJ20" ca="1">IF(ISBLANK($C20),"",IF(N20=0,INDIRECT(N$2&amp;"!F"&amp;$T20),""))</f>
        <v>12</v>
      </c>
      <c r="AK20" cm="1">
        <f t="array" aca="1" ref="AK20" ca="1">IF(ISBLANK($C20),"",IF(O20=0,INDIRECT(O$2&amp;"!F"&amp;$T20),""))</f>
        <v>35</v>
      </c>
      <c r="AL20" cm="1">
        <f t="array" aca="1" ref="AL20" ca="1">IF(ISBLANK($C20),"",IF(P20=0,INDIRECT(P$2&amp;"!F"&amp;$T20),""))</f>
        <v>38</v>
      </c>
      <c r="AM20" t="str" cm="1">
        <f t="array" aca="1" ref="AM20" ca="1">IF(ISBLANK($C20),"",IF(Q20=0,INDIRECT(Q$2&amp;"!F"&amp;$T20),""))</f>
        <v/>
      </c>
      <c r="AN20" t="str" cm="1">
        <f t="array" aca="1" ref="AN20" ca="1">IF(ISBLANK($C20),"",IF(R20=0,INDIRECT(R$2&amp;"!F"&amp;$T20),""))</f>
        <v/>
      </c>
      <c r="AO20" cm="1">
        <f t="array" aca="1" ref="AO20" ca="1">IF(ISBLANK($C20),"",IF(S20=0,INDIRECT(S$2&amp;"!F"&amp;$T20),""))</f>
        <v>14</v>
      </c>
      <c r="AP20">
        <f t="shared" ca="1" si="6"/>
        <v>7</v>
      </c>
      <c r="AQ20">
        <f t="shared" ca="1" si="7"/>
        <v>15</v>
      </c>
    </row>
    <row r="21" spans="1:43" ht="15.5" x14ac:dyDescent="0.35">
      <c r="A21" s="28">
        <v>43826</v>
      </c>
      <c r="B21" s="29" t="s">
        <v>56</v>
      </c>
      <c r="C21" s="29" t="s">
        <v>58</v>
      </c>
      <c r="D21" s="39"/>
      <c r="E21" s="41" cm="1">
        <f t="array" aca="1" ref="E21" ca="1">IF(ISBLANK($C21),"",IF(($C21=(INDIRECT(E$2&amp;"!E"&amp;$T21))),(INDIRECT(E$2&amp;"!F"&amp;$T21)),0))</f>
        <v>22</v>
      </c>
      <c r="F21" s="42" cm="1">
        <f t="array" aca="1" ref="F21" ca="1">IF(ISBLANK($C21),"",IF(($C21=(INDIRECT(F$2&amp;"!E"&amp;$T21))),(INDIRECT(F$2&amp;"!F"&amp;$T21)),0))</f>
        <v>16</v>
      </c>
      <c r="G21" s="42" cm="1">
        <f t="array" aca="1" ref="G21" ca="1">IF(ISBLANK($C21),"",IF(($C21=(INDIRECT(G$2&amp;"!E"&amp;$T21))),(INDIRECT(G$2&amp;"!F"&amp;$T21)),0))</f>
        <v>15</v>
      </c>
      <c r="H21" s="42" cm="1">
        <f t="array" aca="1" ref="H21" ca="1">IF(ISBLANK($C21),"",IF(($C21=(INDIRECT(H$2&amp;"!E"&amp;$T21))),(INDIRECT(H$2&amp;"!F"&amp;$T21)),0))</f>
        <v>0</v>
      </c>
      <c r="I21" s="42" cm="1">
        <f t="array" aca="1" ref="I21" ca="1">IF(ISBLANK($C21),"",IF(($C21=(INDIRECT(I$2&amp;"!E"&amp;$T21))),(INDIRECT(I$2&amp;"!F"&amp;$T21)),0))</f>
        <v>3</v>
      </c>
      <c r="J21" s="42" cm="1">
        <f t="array" aca="1" ref="J21" ca="1">IF(ISBLANK($C21),"",IF(($C21=(INDIRECT(J$2&amp;"!E"&amp;$T21))),(INDIRECT(J$2&amp;"!F"&amp;$T21)),0))</f>
        <v>0</v>
      </c>
      <c r="K21" s="42" cm="1">
        <f t="array" aca="1" ref="K21" ca="1">IF(ISBLANK($C21),"",IF(($C21=(INDIRECT(K$2&amp;"!E"&amp;$T21))),(INDIRECT(K$2&amp;"!F"&amp;$T21)),0))</f>
        <v>13</v>
      </c>
      <c r="L21" s="42" cm="1">
        <f t="array" aca="1" ref="L21" ca="1">IF(ISBLANK($C21),"",IF(($C21=(INDIRECT(L$2&amp;"!E"&amp;$T21))),(INDIRECT(L$2&amp;"!F"&amp;$T21)),0))</f>
        <v>6</v>
      </c>
      <c r="M21" s="42" cm="1">
        <f t="array" aca="1" ref="M21" ca="1">IF(ISBLANK($C21),"",IF(($C21=(INDIRECT(M$2&amp;"!E"&amp;$T21))),(INDIRECT(M$2&amp;"!F"&amp;$T21)),0))</f>
        <v>6</v>
      </c>
      <c r="N21" s="42" cm="1">
        <f t="array" aca="1" ref="N21" ca="1">IF(ISBLANK($C21),"",IF(($C21=(INDIRECT(N$2&amp;"!E"&amp;$T21))),(INDIRECT(N$2&amp;"!F"&amp;$T21)),0))</f>
        <v>31</v>
      </c>
      <c r="O21" s="42" cm="1">
        <f t="array" aca="1" ref="O21" ca="1">IF(ISBLANK($C21),"",IF(($C21=(INDIRECT(O$2&amp;"!E"&amp;$T21))),(INDIRECT(O$2&amp;"!F"&amp;$T21)),0))</f>
        <v>36</v>
      </c>
      <c r="P21" s="42" cm="1">
        <f t="array" aca="1" ref="P21" ca="1">IF(ISBLANK($C21),"",IF(($C21=(INDIRECT(P$2&amp;"!E"&amp;$T21))),(INDIRECT(P$2&amp;"!F"&amp;$T21)),0))</f>
        <v>0</v>
      </c>
      <c r="Q21" s="42" cm="1">
        <f t="array" aca="1" ref="Q21" ca="1">IF(ISBLANK($C21),"",IF(($C21=(INDIRECT(Q$2&amp;"!E"&amp;$T21))),(INDIRECT(Q$2&amp;"!F"&amp;$T21)),0))</f>
        <v>25</v>
      </c>
      <c r="R21" s="42" cm="1">
        <f t="array" aca="1" ref="R21" ca="1">IF(ISBLANK($C21),"",IF(($C21=(INDIRECT(R$2&amp;"!E"&amp;$T21))),(INDIRECT(R$2&amp;"!F"&amp;$T21)),0))</f>
        <v>10</v>
      </c>
      <c r="S21" s="43" cm="1">
        <f t="array" aca="1" ref="S21" ca="1">IF(ISBLANK($C21),"",IF(($C21=(INDIRECT(S$2&amp;"!E"&amp;$T21))),(INDIRECT(S$2&amp;"!F"&amp;$T21)),0))</f>
        <v>34</v>
      </c>
      <c r="T21" s="50">
        <f t="shared" si="8"/>
        <v>20</v>
      </c>
      <c r="U21" s="78">
        <f t="shared" ca="1" si="2"/>
        <v>12</v>
      </c>
      <c r="V21" s="80">
        <f t="shared" ca="1" si="3"/>
        <v>18.083333333333332</v>
      </c>
      <c r="W21" s="79" t="s">
        <v>56</v>
      </c>
      <c r="X21" s="86">
        <f t="shared" ca="1" si="4"/>
        <v>3</v>
      </c>
      <c r="Y21" s="87">
        <f t="shared" ca="1" si="5"/>
        <v>25.333333333333332</v>
      </c>
      <c r="Z21" s="79" t="s">
        <v>56</v>
      </c>
      <c r="AA21" t="str" cm="1">
        <f t="array" aca="1" ref="AA21" ca="1">IF(ISBLANK($C21),"",IF(E21=0,INDIRECT(E$2&amp;"!F"&amp;$T21),""))</f>
        <v/>
      </c>
      <c r="AB21" t="str" cm="1">
        <f t="array" aca="1" ref="AB21" ca="1">IF(ISBLANK($C21),"",IF(F21=0,INDIRECT(F$2&amp;"!F"&amp;$T21),""))</f>
        <v/>
      </c>
      <c r="AC21" t="str" cm="1">
        <f t="array" aca="1" ref="AC21" ca="1">IF(ISBLANK($C21),"",IF(G21=0,INDIRECT(G$2&amp;"!F"&amp;$T21),""))</f>
        <v/>
      </c>
      <c r="AD21" cm="1">
        <f t="array" aca="1" ref="AD21" ca="1">IF(ISBLANK($C21),"",IF(H21=0,INDIRECT(H$2&amp;"!F"&amp;$T21),""))</f>
        <v>23</v>
      </c>
      <c r="AE21" t="str" cm="1">
        <f t="array" aca="1" ref="AE21" ca="1">IF(ISBLANK($C21),"",IF(I21=0,INDIRECT(I$2&amp;"!F"&amp;$T21),""))</f>
        <v/>
      </c>
      <c r="AF21" cm="1">
        <f t="array" aca="1" ref="AF21" ca="1">IF(ISBLANK($C21),"",IF(J21=0,INDIRECT(J$2&amp;"!F"&amp;$T21),""))</f>
        <v>13</v>
      </c>
      <c r="AG21" t="str" cm="1">
        <f t="array" aca="1" ref="AG21" ca="1">IF(ISBLANK($C21),"",IF(K21=0,INDIRECT(K$2&amp;"!F"&amp;$T21),""))</f>
        <v/>
      </c>
      <c r="AH21" t="str" cm="1">
        <f t="array" aca="1" ref="AH21" ca="1">IF(ISBLANK($C21),"",IF(L21=0,INDIRECT(L$2&amp;"!F"&amp;$T21),""))</f>
        <v/>
      </c>
      <c r="AI21" t="str" cm="1">
        <f t="array" aca="1" ref="AI21" ca="1">IF(ISBLANK($C21),"",IF(M21=0,INDIRECT(M$2&amp;"!F"&amp;$T21),""))</f>
        <v/>
      </c>
      <c r="AJ21" t="str" cm="1">
        <f t="array" aca="1" ref="AJ21" ca="1">IF(ISBLANK($C21),"",IF(N21=0,INDIRECT(N$2&amp;"!F"&amp;$T21),""))</f>
        <v/>
      </c>
      <c r="AK21" t="str" cm="1">
        <f t="array" aca="1" ref="AK21" ca="1">IF(ISBLANK($C21),"",IF(O21=0,INDIRECT(O$2&amp;"!F"&amp;$T21),""))</f>
        <v/>
      </c>
      <c r="AL21" cm="1">
        <f t="array" aca="1" ref="AL21" ca="1">IF(ISBLANK($C21),"",IF(P21=0,INDIRECT(P$2&amp;"!F"&amp;$T21),""))</f>
        <v>40</v>
      </c>
      <c r="AM21" t="str" cm="1">
        <f t="array" aca="1" ref="AM21" ca="1">IF(ISBLANK($C21),"",IF(Q21=0,INDIRECT(Q$2&amp;"!F"&amp;$T21),""))</f>
        <v/>
      </c>
      <c r="AN21" t="str" cm="1">
        <f t="array" aca="1" ref="AN21" ca="1">IF(ISBLANK($C21),"",IF(R21=0,INDIRECT(R$2&amp;"!F"&amp;$T21),""))</f>
        <v/>
      </c>
      <c r="AO21" t="str" cm="1">
        <f t="array" aca="1" ref="AO21" ca="1">IF(ISBLANK($C21),"",IF(S21=0,INDIRECT(S$2&amp;"!F"&amp;$T21),""))</f>
        <v/>
      </c>
      <c r="AP21">
        <f t="shared" ca="1" si="6"/>
        <v>3</v>
      </c>
      <c r="AQ21">
        <f t="shared" ca="1" si="7"/>
        <v>15</v>
      </c>
    </row>
    <row r="22" spans="1:43" ht="15.5" x14ac:dyDescent="0.35">
      <c r="A22" s="28">
        <v>43826</v>
      </c>
      <c r="B22" s="29" t="s">
        <v>59</v>
      </c>
      <c r="C22" s="29" t="s">
        <v>60</v>
      </c>
      <c r="D22" s="39"/>
      <c r="E22" s="41" cm="1">
        <f t="array" aca="1" ref="E22" ca="1">IF(ISBLANK($C22),"",IF(($C22=(INDIRECT(E$2&amp;"!E"&amp;$T22))),(INDIRECT(E$2&amp;"!F"&amp;$T22)),0))</f>
        <v>19</v>
      </c>
      <c r="F22" s="42" cm="1">
        <f t="array" aca="1" ref="F22" ca="1">IF(ISBLANK($C22),"",IF(($C22=(INDIRECT(F$2&amp;"!E"&amp;$T22))),(INDIRECT(F$2&amp;"!F"&amp;$T22)),0))</f>
        <v>11</v>
      </c>
      <c r="G22" s="42" cm="1">
        <f t="array" aca="1" ref="G22" ca="1">IF(ISBLANK($C22),"",IF(($C22=(INDIRECT(G$2&amp;"!E"&amp;$T22))),(INDIRECT(G$2&amp;"!F"&amp;$T22)),0))</f>
        <v>0</v>
      </c>
      <c r="H22" s="42" cm="1">
        <f t="array" aca="1" ref="H22" ca="1">IF(ISBLANK($C22),"",IF(($C22=(INDIRECT(H$2&amp;"!E"&amp;$T22))),(INDIRECT(H$2&amp;"!F"&amp;$T22)),0))</f>
        <v>14</v>
      </c>
      <c r="I22" s="42" cm="1">
        <f t="array" aca="1" ref="I22" ca="1">IF(ISBLANK($C22),"",IF(($C22=(INDIRECT(I$2&amp;"!E"&amp;$T22))),(INDIRECT(I$2&amp;"!F"&amp;$T22)),0))</f>
        <v>5</v>
      </c>
      <c r="J22" s="42" cm="1">
        <f t="array" aca="1" ref="J22" ca="1">IF(ISBLANK($C22),"",IF(($C22=(INDIRECT(J$2&amp;"!E"&amp;$T22))),(INDIRECT(J$2&amp;"!F"&amp;$T22)),0))</f>
        <v>3</v>
      </c>
      <c r="K22" s="42" cm="1">
        <f t="array" aca="1" ref="K22" ca="1">IF(ISBLANK($C22),"",IF(($C22=(INDIRECT(K$2&amp;"!E"&amp;$T22))),(INDIRECT(K$2&amp;"!F"&amp;$T22)),0))</f>
        <v>0</v>
      </c>
      <c r="L22" s="42" cm="1">
        <f t="array" aca="1" ref="L22" ca="1">IF(ISBLANK($C22),"",IF(($C22=(INDIRECT(L$2&amp;"!E"&amp;$T22))),(INDIRECT(L$2&amp;"!F"&amp;$T22)),0))</f>
        <v>10</v>
      </c>
      <c r="M22" s="42" cm="1">
        <f t="array" aca="1" ref="M22" ca="1">IF(ISBLANK($C22),"",IF(($C22=(INDIRECT(M$2&amp;"!E"&amp;$T22))),(INDIRECT(M$2&amp;"!F"&amp;$T22)),0))</f>
        <v>14</v>
      </c>
      <c r="N22" s="42" cm="1">
        <f t="array" aca="1" ref="N22" ca="1">IF(ISBLANK($C22),"",IF(($C22=(INDIRECT(N$2&amp;"!E"&amp;$T22))),(INDIRECT(N$2&amp;"!F"&amp;$T22)),0))</f>
        <v>0</v>
      </c>
      <c r="O22" s="42" cm="1">
        <f t="array" aca="1" ref="O22" ca="1">IF(ISBLANK($C22),"",IF(($C22=(INDIRECT(O$2&amp;"!E"&amp;$T22))),(INDIRECT(O$2&amp;"!F"&amp;$T22)),0))</f>
        <v>20</v>
      </c>
      <c r="P22" s="42" cm="1">
        <f t="array" aca="1" ref="P22" ca="1">IF(ISBLANK($C22),"",IF(($C22=(INDIRECT(P$2&amp;"!E"&amp;$T22))),(INDIRECT(P$2&amp;"!F"&amp;$T22)),0))</f>
        <v>0</v>
      </c>
      <c r="Q22" s="42" cm="1">
        <f t="array" aca="1" ref="Q22" ca="1">IF(ISBLANK($C22),"",IF(($C22=(INDIRECT(Q$2&amp;"!E"&amp;$T22))),(INDIRECT(Q$2&amp;"!F"&amp;$T22)),0))</f>
        <v>34</v>
      </c>
      <c r="R22" s="42" cm="1">
        <f t="array" aca="1" ref="R22" ca="1">IF(ISBLANK($C22),"",IF(($C22=(INDIRECT(R$2&amp;"!E"&amp;$T22))),(INDIRECT(R$2&amp;"!F"&amp;$T22)),0))</f>
        <v>0</v>
      </c>
      <c r="S22" s="43" cm="1">
        <f t="array" aca="1" ref="S22" ca="1">IF(ISBLANK($C22),"",IF(($C22=(INDIRECT(S$2&amp;"!E"&amp;$T22))),(INDIRECT(S$2&amp;"!F"&amp;$T22)),0))</f>
        <v>5</v>
      </c>
      <c r="T22" s="50">
        <f t="shared" si="8"/>
        <v>21</v>
      </c>
      <c r="U22" s="78">
        <f t="shared" ca="1" si="2"/>
        <v>10</v>
      </c>
      <c r="V22" s="80">
        <f t="shared" ca="1" si="3"/>
        <v>13.5</v>
      </c>
      <c r="W22" s="79" t="s">
        <v>59</v>
      </c>
      <c r="X22" s="86">
        <f t="shared" ca="1" si="4"/>
        <v>5</v>
      </c>
      <c r="Y22" s="87">
        <f t="shared" ca="1" si="5"/>
        <v>19</v>
      </c>
      <c r="Z22" s="79" t="s">
        <v>59</v>
      </c>
      <c r="AA22" t="str" cm="1">
        <f t="array" aca="1" ref="AA22" ca="1">IF(ISBLANK($C22),"",IF(E22=0,INDIRECT(E$2&amp;"!F"&amp;$T22),""))</f>
        <v/>
      </c>
      <c r="AB22" t="str" cm="1">
        <f t="array" aca="1" ref="AB22" ca="1">IF(ISBLANK($C22),"",IF(F22=0,INDIRECT(F$2&amp;"!F"&amp;$T22),""))</f>
        <v/>
      </c>
      <c r="AC22" cm="1">
        <f t="array" aca="1" ref="AC22" ca="1">IF(ISBLANK($C22),"",IF(G22=0,INDIRECT(G$2&amp;"!F"&amp;$T22),""))</f>
        <v>17</v>
      </c>
      <c r="AD22" t="str" cm="1">
        <f t="array" aca="1" ref="AD22" ca="1">IF(ISBLANK($C22),"",IF(H22=0,INDIRECT(H$2&amp;"!F"&amp;$T22),""))</f>
        <v/>
      </c>
      <c r="AE22" t="str" cm="1">
        <f t="array" aca="1" ref="AE22" ca="1">IF(ISBLANK($C22),"",IF(I22=0,INDIRECT(I$2&amp;"!F"&amp;$T22),""))</f>
        <v/>
      </c>
      <c r="AF22" t="str" cm="1">
        <f t="array" aca="1" ref="AF22" ca="1">IF(ISBLANK($C22),"",IF(J22=0,INDIRECT(J$2&amp;"!F"&amp;$T22),""))</f>
        <v/>
      </c>
      <c r="AG22" cm="1">
        <f t="array" aca="1" ref="AG22" ca="1">IF(ISBLANK($C22),"",IF(K22=0,INDIRECT(K$2&amp;"!F"&amp;$T22),""))</f>
        <v>2</v>
      </c>
      <c r="AH22" t="str" cm="1">
        <f t="array" aca="1" ref="AH22" ca="1">IF(ISBLANK($C22),"",IF(L22=0,INDIRECT(L$2&amp;"!F"&amp;$T22),""))</f>
        <v/>
      </c>
      <c r="AI22" t="str" cm="1">
        <f t="array" aca="1" ref="AI22" ca="1">IF(ISBLANK($C22),"",IF(M22=0,INDIRECT(M$2&amp;"!F"&amp;$T22),""))</f>
        <v/>
      </c>
      <c r="AJ22" cm="1">
        <f t="array" aca="1" ref="AJ22" ca="1">IF(ISBLANK($C22),"",IF(N22=0,INDIRECT(N$2&amp;"!F"&amp;$T22),""))</f>
        <v>13</v>
      </c>
      <c r="AK22" t="str" cm="1">
        <f t="array" aca="1" ref="AK22" ca="1">IF(ISBLANK($C22),"",IF(O22=0,INDIRECT(O$2&amp;"!F"&amp;$T22),""))</f>
        <v/>
      </c>
      <c r="AL22" cm="1">
        <f t="array" aca="1" ref="AL22" ca="1">IF(ISBLANK($C22),"",IF(P22=0,INDIRECT(P$2&amp;"!F"&amp;$T22),""))</f>
        <v>39</v>
      </c>
      <c r="AM22" t="str" cm="1">
        <f t="array" aca="1" ref="AM22" ca="1">IF(ISBLANK($C22),"",IF(Q22=0,INDIRECT(Q$2&amp;"!F"&amp;$T22),""))</f>
        <v/>
      </c>
      <c r="AN22" cm="1">
        <f t="array" aca="1" ref="AN22" ca="1">IF(ISBLANK($C22),"",IF(R22=0,INDIRECT(R$2&amp;"!F"&amp;$T22),""))</f>
        <v>24</v>
      </c>
      <c r="AO22" t="str" cm="1">
        <f t="array" aca="1" ref="AO22" ca="1">IF(ISBLANK($C22),"",IF(S22=0,INDIRECT(S$2&amp;"!F"&amp;$T22),""))</f>
        <v/>
      </c>
      <c r="AP22">
        <f t="shared" ca="1" si="6"/>
        <v>5</v>
      </c>
      <c r="AQ22">
        <f t="shared" ca="1" si="7"/>
        <v>15</v>
      </c>
    </row>
    <row r="23" spans="1:43" ht="15.5" x14ac:dyDescent="0.35">
      <c r="A23" s="28">
        <v>43827</v>
      </c>
      <c r="B23" s="29" t="s">
        <v>62</v>
      </c>
      <c r="C23" s="29" t="s">
        <v>63</v>
      </c>
      <c r="D23" s="39"/>
      <c r="E23" s="41" cm="1">
        <f t="array" aca="1" ref="E23" ca="1">IF(ISBLANK($C23),"",IF(($C23=(INDIRECT(E$2&amp;"!E"&amp;$T23))),(INDIRECT(E$2&amp;"!F"&amp;$T23)),0))</f>
        <v>34</v>
      </c>
      <c r="F23" s="42" cm="1">
        <f t="array" aca="1" ref="F23" ca="1">IF(ISBLANK($C23),"",IF(($C23=(INDIRECT(F$2&amp;"!E"&amp;$T23))),(INDIRECT(F$2&amp;"!F"&amp;$T23)),0))</f>
        <v>17</v>
      </c>
      <c r="G23" s="42" cm="1">
        <f t="array" aca="1" ref="G23" ca="1">IF(ISBLANK($C23),"",IF(($C23=(INDIRECT(G$2&amp;"!E"&amp;$T23))),(INDIRECT(G$2&amp;"!F"&amp;$T23)),0))</f>
        <v>38</v>
      </c>
      <c r="H23" s="42" cm="1">
        <f t="array" aca="1" ref="H23" ca="1">IF(ISBLANK($C23),"",IF(($C23=(INDIRECT(H$2&amp;"!E"&amp;$T23))),(INDIRECT(H$2&amp;"!F"&amp;$T23)),0))</f>
        <v>15</v>
      </c>
      <c r="I23" s="42" cm="1">
        <f t="array" aca="1" ref="I23" ca="1">IF(ISBLANK($C23),"",IF(($C23=(INDIRECT(I$2&amp;"!E"&amp;$T23))),(INDIRECT(I$2&amp;"!F"&amp;$T23)),0))</f>
        <v>38</v>
      </c>
      <c r="J23" s="42" cm="1">
        <f t="array" aca="1" ref="J23" ca="1">IF(ISBLANK($C23),"",IF(($C23=(INDIRECT(J$2&amp;"!E"&amp;$T23))),(INDIRECT(J$2&amp;"!F"&amp;$T23)),0))</f>
        <v>21</v>
      </c>
      <c r="K23" s="42" cm="1">
        <f t="array" aca="1" ref="K23" ca="1">IF(ISBLANK($C23),"",IF(($C23=(INDIRECT(K$2&amp;"!E"&amp;$T23))),(INDIRECT(K$2&amp;"!F"&amp;$T23)),0))</f>
        <v>34</v>
      </c>
      <c r="L23" s="42" cm="1">
        <f t="array" aca="1" ref="L23" ca="1">IF(ISBLANK($C23),"",IF(($C23=(INDIRECT(L$2&amp;"!E"&amp;$T23))),(INDIRECT(L$2&amp;"!F"&amp;$T23)),0))</f>
        <v>24</v>
      </c>
      <c r="M23" s="42" cm="1">
        <f t="array" aca="1" ref="M23" ca="1">IF(ISBLANK($C23),"",IF(($C23=(INDIRECT(M$2&amp;"!E"&amp;$T23))),(INDIRECT(M$2&amp;"!F"&amp;$T23)),0))</f>
        <v>26</v>
      </c>
      <c r="N23" s="42" cm="1">
        <f t="array" aca="1" ref="N23" ca="1">IF(ISBLANK($C23),"",IF(($C23=(INDIRECT(N$2&amp;"!E"&amp;$T23))),(INDIRECT(N$2&amp;"!F"&amp;$T23)),0))</f>
        <v>36</v>
      </c>
      <c r="O23" s="42" cm="1">
        <f t="array" aca="1" ref="O23" ca="1">IF(ISBLANK($C23),"",IF(($C23=(INDIRECT(O$2&amp;"!E"&amp;$T23))),(INDIRECT(O$2&amp;"!F"&amp;$T23)),0))</f>
        <v>37</v>
      </c>
      <c r="P23" s="42" cm="1">
        <f t="array" aca="1" ref="P23" ca="1">IF(ISBLANK($C23),"",IF(($C23=(INDIRECT(P$2&amp;"!E"&amp;$T23))),(INDIRECT(P$2&amp;"!F"&amp;$T23)),0))</f>
        <v>5</v>
      </c>
      <c r="Q23" s="42" cm="1">
        <f t="array" aca="1" ref="Q23" ca="1">IF(ISBLANK($C23),"",IF(($C23=(INDIRECT(Q$2&amp;"!E"&amp;$T23))),(INDIRECT(Q$2&amp;"!F"&amp;$T23)),0))</f>
        <v>38</v>
      </c>
      <c r="R23" s="42" cm="1">
        <f t="array" aca="1" ref="R23" ca="1">IF(ISBLANK($C23),"",IF(($C23=(INDIRECT(R$2&amp;"!E"&amp;$T23))),(INDIRECT(R$2&amp;"!F"&amp;$T23)),0))</f>
        <v>36</v>
      </c>
      <c r="S23" s="43" cm="1">
        <f t="array" aca="1" ref="S23" ca="1">IF(ISBLANK($C23),"",IF(($C23=(INDIRECT(S$2&amp;"!E"&amp;$T23))),(INDIRECT(S$2&amp;"!F"&amp;$T23)),0))</f>
        <v>36</v>
      </c>
      <c r="T23" s="50">
        <f t="shared" si="8"/>
        <v>22</v>
      </c>
      <c r="U23" s="78">
        <f t="shared" ca="1" si="2"/>
        <v>15</v>
      </c>
      <c r="V23" s="80">
        <f t="shared" ca="1" si="3"/>
        <v>29</v>
      </c>
      <c r="W23" s="79" t="s">
        <v>62</v>
      </c>
      <c r="X23" s="86">
        <f t="shared" ca="1" si="4"/>
        <v>0</v>
      </c>
      <c r="Y23" s="87">
        <f t="shared" ca="1" si="5"/>
        <v>0</v>
      </c>
      <c r="Z23" s="79" t="s">
        <v>62</v>
      </c>
      <c r="AA23" t="str" cm="1">
        <f t="array" aca="1" ref="AA23" ca="1">IF(ISBLANK($C23),"",IF(E23=0,INDIRECT(E$2&amp;"!F"&amp;$T23),""))</f>
        <v/>
      </c>
      <c r="AB23" t="str" cm="1">
        <f t="array" aca="1" ref="AB23" ca="1">IF(ISBLANK($C23),"",IF(F23=0,INDIRECT(F$2&amp;"!F"&amp;$T23),""))</f>
        <v/>
      </c>
      <c r="AC23" t="str" cm="1">
        <f t="array" aca="1" ref="AC23" ca="1">IF(ISBLANK($C23),"",IF(G23=0,INDIRECT(G$2&amp;"!F"&amp;$T23),""))</f>
        <v/>
      </c>
      <c r="AD23" t="str" cm="1">
        <f t="array" aca="1" ref="AD23" ca="1">IF(ISBLANK($C23),"",IF(H23=0,INDIRECT(H$2&amp;"!F"&amp;$T23),""))</f>
        <v/>
      </c>
      <c r="AE23" t="str" cm="1">
        <f t="array" aca="1" ref="AE23" ca="1">IF(ISBLANK($C23),"",IF(I23=0,INDIRECT(I$2&amp;"!F"&amp;$T23),""))</f>
        <v/>
      </c>
      <c r="AF23" t="str" cm="1">
        <f t="array" aca="1" ref="AF23" ca="1">IF(ISBLANK($C23),"",IF(J23=0,INDIRECT(J$2&amp;"!F"&amp;$T23),""))</f>
        <v/>
      </c>
      <c r="AG23" t="str" cm="1">
        <f t="array" aca="1" ref="AG23" ca="1">IF(ISBLANK($C23),"",IF(K23=0,INDIRECT(K$2&amp;"!F"&amp;$T23),""))</f>
        <v/>
      </c>
      <c r="AH23" t="str" cm="1">
        <f t="array" aca="1" ref="AH23" ca="1">IF(ISBLANK($C23),"",IF(L23=0,INDIRECT(L$2&amp;"!F"&amp;$T23),""))</f>
        <v/>
      </c>
      <c r="AI23" t="str" cm="1">
        <f t="array" aca="1" ref="AI23" ca="1">IF(ISBLANK($C23),"",IF(M23=0,INDIRECT(M$2&amp;"!F"&amp;$T23),""))</f>
        <v/>
      </c>
      <c r="AJ23" t="str" cm="1">
        <f t="array" aca="1" ref="AJ23" ca="1">IF(ISBLANK($C23),"",IF(N23=0,INDIRECT(N$2&amp;"!F"&amp;$T23),""))</f>
        <v/>
      </c>
      <c r="AK23" t="str" cm="1">
        <f t="array" aca="1" ref="AK23" ca="1">IF(ISBLANK($C23),"",IF(O23=0,INDIRECT(O$2&amp;"!F"&amp;$T23),""))</f>
        <v/>
      </c>
      <c r="AL23" t="str" cm="1">
        <f t="array" aca="1" ref="AL23" ca="1">IF(ISBLANK($C23),"",IF(P23=0,INDIRECT(P$2&amp;"!F"&amp;$T23),""))</f>
        <v/>
      </c>
      <c r="AM23" t="str" cm="1">
        <f t="array" aca="1" ref="AM23" ca="1">IF(ISBLANK($C23),"",IF(Q23=0,INDIRECT(Q$2&amp;"!F"&amp;$T23),""))</f>
        <v/>
      </c>
      <c r="AN23" t="str" cm="1">
        <f t="array" aca="1" ref="AN23" ca="1">IF(ISBLANK($C23),"",IF(R23=0,INDIRECT(R$2&amp;"!F"&amp;$T23),""))</f>
        <v/>
      </c>
      <c r="AO23" t="str" cm="1">
        <f t="array" aca="1" ref="AO23" ca="1">IF(ISBLANK($C23),"",IF(S23=0,INDIRECT(S$2&amp;"!F"&amp;$T23),""))</f>
        <v/>
      </c>
      <c r="AP23">
        <f t="shared" ca="1" si="6"/>
        <v>0</v>
      </c>
      <c r="AQ23">
        <f t="shared" ca="1" si="7"/>
        <v>15</v>
      </c>
    </row>
    <row r="24" spans="1:43" ht="15.5" x14ac:dyDescent="0.35">
      <c r="A24" s="28">
        <v>43827</v>
      </c>
      <c r="B24" s="29" t="s">
        <v>65</v>
      </c>
      <c r="C24" s="29" t="s">
        <v>66</v>
      </c>
      <c r="D24" s="39"/>
      <c r="E24" s="41" cm="1">
        <f t="array" aca="1" ref="E24" ca="1">IF(ISBLANK($C24),"",IF(($C24=(INDIRECT(E$2&amp;"!E"&amp;$T24))),(INDIRECT(E$2&amp;"!F"&amp;$T24)),0))</f>
        <v>12</v>
      </c>
      <c r="F24" s="42" cm="1">
        <f t="array" aca="1" ref="F24" ca="1">IF(ISBLANK($C24),"",IF(($C24=(INDIRECT(F$2&amp;"!E"&amp;$T24))),(INDIRECT(F$2&amp;"!F"&amp;$T24)),0))</f>
        <v>23</v>
      </c>
      <c r="G24" s="42" cm="1">
        <f t="array" aca="1" ref="G24" ca="1">IF(ISBLANK($C24),"",IF(($C24=(INDIRECT(G$2&amp;"!E"&amp;$T24))),(INDIRECT(G$2&amp;"!F"&amp;$T24)),0))</f>
        <v>40</v>
      </c>
      <c r="H24" s="42" cm="1">
        <f t="array" aca="1" ref="H24" ca="1">IF(ISBLANK($C24),"",IF(($C24=(INDIRECT(H$2&amp;"!E"&amp;$T24))),(INDIRECT(H$2&amp;"!F"&amp;$T24)),0))</f>
        <v>38</v>
      </c>
      <c r="I24" s="42" cm="1">
        <f t="array" aca="1" ref="I24" ca="1">IF(ISBLANK($C24),"",IF(($C24=(INDIRECT(I$2&amp;"!E"&amp;$T24))),(INDIRECT(I$2&amp;"!F"&amp;$T24)),0))</f>
        <v>34</v>
      </c>
      <c r="J24" s="42" cm="1">
        <f t="array" aca="1" ref="J24" ca="1">IF(ISBLANK($C24),"",IF(($C24=(INDIRECT(J$2&amp;"!E"&amp;$T24))),(INDIRECT(J$2&amp;"!F"&amp;$T24)),0))</f>
        <v>22</v>
      </c>
      <c r="K24" s="42" cm="1">
        <f t="array" aca="1" ref="K24" ca="1">IF(ISBLANK($C24),"",IF(($C24=(INDIRECT(K$2&amp;"!E"&amp;$T24))),(INDIRECT(K$2&amp;"!F"&amp;$T24)),0))</f>
        <v>38</v>
      </c>
      <c r="L24" s="42" cm="1">
        <f t="array" aca="1" ref="L24" ca="1">IF(ISBLANK($C24),"",IF(($C24=(INDIRECT(L$2&amp;"!E"&amp;$T24))),(INDIRECT(L$2&amp;"!F"&amp;$T24)),0))</f>
        <v>29</v>
      </c>
      <c r="M24" s="42" cm="1">
        <f t="array" aca="1" ref="M24" ca="1">IF(ISBLANK($C24),"",IF(($C24=(INDIRECT(M$2&amp;"!E"&amp;$T24))),(INDIRECT(M$2&amp;"!F"&amp;$T24)),0))</f>
        <v>30</v>
      </c>
      <c r="N24" s="42" cm="1">
        <f t="array" aca="1" ref="N24" ca="1">IF(ISBLANK($C24),"",IF(($C24=(INDIRECT(N$2&amp;"!E"&amp;$T24))),(INDIRECT(N$2&amp;"!F"&amp;$T24)),0))</f>
        <v>40</v>
      </c>
      <c r="O24" s="42" cm="1">
        <f t="array" aca="1" ref="O24" ca="1">IF(ISBLANK($C24),"",IF(($C24=(INDIRECT(O$2&amp;"!E"&amp;$T24))),(INDIRECT(O$2&amp;"!F"&amp;$T24)),0))</f>
        <v>38</v>
      </c>
      <c r="P24" s="42" cm="1">
        <f t="array" aca="1" ref="P24" ca="1">IF(ISBLANK($C24),"",IF(($C24=(INDIRECT(P$2&amp;"!E"&amp;$T24))),(INDIRECT(P$2&amp;"!F"&amp;$T24)),0))</f>
        <v>6</v>
      </c>
      <c r="Q24" s="42" cm="1">
        <f t="array" aca="1" ref="Q24" ca="1">IF(ISBLANK($C24),"",IF(($C24=(INDIRECT(Q$2&amp;"!E"&amp;$T24))),(INDIRECT(Q$2&amp;"!F"&amp;$T24)),0))</f>
        <v>39</v>
      </c>
      <c r="R24" s="42" cm="1">
        <f t="array" aca="1" ref="R24" ca="1">IF(ISBLANK($C24),"",IF(($C24=(INDIRECT(R$2&amp;"!E"&amp;$T24))),(INDIRECT(R$2&amp;"!F"&amp;$T24)),0))</f>
        <v>37</v>
      </c>
      <c r="S24" s="43" cm="1">
        <f t="array" aca="1" ref="S24" ca="1">IF(ISBLANK($C24),"",IF(($C24=(INDIRECT(S$2&amp;"!E"&amp;$T24))),(INDIRECT(S$2&amp;"!F"&amp;$T24)),0))</f>
        <v>39</v>
      </c>
      <c r="T24" s="50">
        <f t="shared" si="8"/>
        <v>23</v>
      </c>
      <c r="U24" s="78">
        <f t="shared" ca="1" si="2"/>
        <v>15</v>
      </c>
      <c r="V24" s="80">
        <f t="shared" ca="1" si="3"/>
        <v>31</v>
      </c>
      <c r="W24" s="79" t="s">
        <v>65</v>
      </c>
      <c r="X24" s="86">
        <f t="shared" ca="1" si="4"/>
        <v>0</v>
      </c>
      <c r="Y24" s="87">
        <f t="shared" ca="1" si="5"/>
        <v>0</v>
      </c>
      <c r="Z24" s="79" t="s">
        <v>65</v>
      </c>
      <c r="AA24" t="str" cm="1">
        <f t="array" aca="1" ref="AA24" ca="1">IF(ISBLANK($C24),"",IF(E24=0,INDIRECT(E$2&amp;"!F"&amp;$T24),""))</f>
        <v/>
      </c>
      <c r="AB24" t="str" cm="1">
        <f t="array" aca="1" ref="AB24" ca="1">IF(ISBLANK($C24),"",IF(F24=0,INDIRECT(F$2&amp;"!F"&amp;$T24),""))</f>
        <v/>
      </c>
      <c r="AC24" t="str" cm="1">
        <f t="array" aca="1" ref="AC24" ca="1">IF(ISBLANK($C24),"",IF(G24=0,INDIRECT(G$2&amp;"!F"&amp;$T24),""))</f>
        <v/>
      </c>
      <c r="AD24" t="str" cm="1">
        <f t="array" aca="1" ref="AD24" ca="1">IF(ISBLANK($C24),"",IF(H24=0,INDIRECT(H$2&amp;"!F"&amp;$T24),""))</f>
        <v/>
      </c>
      <c r="AE24" t="str" cm="1">
        <f t="array" aca="1" ref="AE24" ca="1">IF(ISBLANK($C24),"",IF(I24=0,INDIRECT(I$2&amp;"!F"&amp;$T24),""))</f>
        <v/>
      </c>
      <c r="AF24" t="str" cm="1">
        <f t="array" aca="1" ref="AF24" ca="1">IF(ISBLANK($C24),"",IF(J24=0,INDIRECT(J$2&amp;"!F"&amp;$T24),""))</f>
        <v/>
      </c>
      <c r="AG24" t="str" cm="1">
        <f t="array" aca="1" ref="AG24" ca="1">IF(ISBLANK($C24),"",IF(K24=0,INDIRECT(K$2&amp;"!F"&amp;$T24),""))</f>
        <v/>
      </c>
      <c r="AH24" t="str" cm="1">
        <f t="array" aca="1" ref="AH24" ca="1">IF(ISBLANK($C24),"",IF(L24=0,INDIRECT(L$2&amp;"!F"&amp;$T24),""))</f>
        <v/>
      </c>
      <c r="AI24" t="str" cm="1">
        <f t="array" aca="1" ref="AI24" ca="1">IF(ISBLANK($C24),"",IF(M24=0,INDIRECT(M$2&amp;"!F"&amp;$T24),""))</f>
        <v/>
      </c>
      <c r="AJ24" t="str" cm="1">
        <f t="array" aca="1" ref="AJ24" ca="1">IF(ISBLANK($C24),"",IF(N24=0,INDIRECT(N$2&amp;"!F"&amp;$T24),""))</f>
        <v/>
      </c>
      <c r="AK24" t="str" cm="1">
        <f t="array" aca="1" ref="AK24" ca="1">IF(ISBLANK($C24),"",IF(O24=0,INDIRECT(O$2&amp;"!F"&amp;$T24),""))</f>
        <v/>
      </c>
      <c r="AL24" t="str" cm="1">
        <f t="array" aca="1" ref="AL24" ca="1">IF(ISBLANK($C24),"",IF(P24=0,INDIRECT(P$2&amp;"!F"&amp;$T24),""))</f>
        <v/>
      </c>
      <c r="AM24" t="str" cm="1">
        <f t="array" aca="1" ref="AM24" ca="1">IF(ISBLANK($C24),"",IF(Q24=0,INDIRECT(Q$2&amp;"!F"&amp;$T24),""))</f>
        <v/>
      </c>
      <c r="AN24" t="str" cm="1">
        <f t="array" aca="1" ref="AN24" ca="1">IF(ISBLANK($C24),"",IF(R24=0,INDIRECT(R$2&amp;"!F"&amp;$T24),""))</f>
        <v/>
      </c>
      <c r="AO24" t="str" cm="1">
        <f t="array" aca="1" ref="AO24" ca="1">IF(ISBLANK($C24),"",IF(S24=0,INDIRECT(S$2&amp;"!F"&amp;$T24),""))</f>
        <v/>
      </c>
      <c r="AP24">
        <f t="shared" ca="1" si="6"/>
        <v>0</v>
      </c>
      <c r="AQ24">
        <f t="shared" ca="1" si="7"/>
        <v>15</v>
      </c>
    </row>
    <row r="25" spans="1:43" ht="15.5" x14ac:dyDescent="0.35">
      <c r="A25" s="28">
        <v>43827</v>
      </c>
      <c r="B25" s="29" t="s">
        <v>68</v>
      </c>
      <c r="C25" s="29" t="s">
        <v>69</v>
      </c>
      <c r="D25" s="39"/>
      <c r="E25" s="41" cm="1">
        <f t="array" aca="1" ref="E25" ca="1">IF(ISBLANK($C25),"",IF(($C25=(INDIRECT(E$2&amp;"!E"&amp;$T25))),(INDIRECT(E$2&amp;"!F"&amp;$T25)),0))</f>
        <v>37</v>
      </c>
      <c r="F25" s="42" cm="1">
        <f t="array" aca="1" ref="F25" ca="1">IF(ISBLANK($C25),"",IF(($C25=(INDIRECT(F$2&amp;"!E"&amp;$T25))),(INDIRECT(F$2&amp;"!F"&amp;$T25)),0))</f>
        <v>39</v>
      </c>
      <c r="G25" s="42" cm="1">
        <f t="array" aca="1" ref="G25" ca="1">IF(ISBLANK($C25),"",IF(($C25=(INDIRECT(G$2&amp;"!E"&amp;$T25))),(INDIRECT(G$2&amp;"!F"&amp;$T25)),0))</f>
        <v>30</v>
      </c>
      <c r="H25" s="42" cm="1">
        <f t="array" aca="1" ref="H25" ca="1">IF(ISBLANK($C25),"",IF(($C25=(INDIRECT(H$2&amp;"!E"&amp;$T25))),(INDIRECT(H$2&amp;"!F"&amp;$T25)),0))</f>
        <v>31</v>
      </c>
      <c r="I25" s="42" cm="1">
        <f t="array" aca="1" ref="I25" ca="1">IF(ISBLANK($C25),"",IF(($C25=(INDIRECT(I$2&amp;"!E"&amp;$T25))),(INDIRECT(I$2&amp;"!F"&amp;$T25)),0))</f>
        <v>35</v>
      </c>
      <c r="J25" s="42" cm="1">
        <f t="array" aca="1" ref="J25" ca="1">IF(ISBLANK($C25),"",IF(($C25=(INDIRECT(J$2&amp;"!E"&amp;$T25))),(INDIRECT(J$2&amp;"!F"&amp;$T25)),0))</f>
        <v>40</v>
      </c>
      <c r="K25" s="42" cm="1">
        <f t="array" aca="1" ref="K25" ca="1">IF(ISBLANK($C25),"",IF(($C25=(INDIRECT(K$2&amp;"!E"&amp;$T25))),(INDIRECT(K$2&amp;"!F"&amp;$T25)),0))</f>
        <v>40</v>
      </c>
      <c r="L25" s="42" cm="1">
        <f t="array" aca="1" ref="L25" ca="1">IF(ISBLANK($C25),"",IF(($C25=(INDIRECT(L$2&amp;"!E"&amp;$T25))),(INDIRECT(L$2&amp;"!F"&amp;$T25)),0))</f>
        <v>37</v>
      </c>
      <c r="M25" s="42" cm="1">
        <f t="array" aca="1" ref="M25" ca="1">IF(ISBLANK($C25),"",IF(($C25=(INDIRECT(M$2&amp;"!E"&amp;$T25))),(INDIRECT(M$2&amp;"!F"&amp;$T25)),0))</f>
        <v>40</v>
      </c>
      <c r="N25" s="42" cm="1">
        <f t="array" aca="1" ref="N25" ca="1">IF(ISBLANK($C25),"",IF(($C25=(INDIRECT(N$2&amp;"!E"&amp;$T25))),(INDIRECT(N$2&amp;"!F"&amp;$T25)),0))</f>
        <v>39</v>
      </c>
      <c r="O25" s="42" cm="1">
        <f t="array" aca="1" ref="O25" ca="1">IF(ISBLANK($C25),"",IF(($C25=(INDIRECT(O$2&amp;"!E"&amp;$T25))),(INDIRECT(O$2&amp;"!F"&amp;$T25)),0))</f>
        <v>40</v>
      </c>
      <c r="P25" s="42" cm="1">
        <f t="array" aca="1" ref="P25" ca="1">IF(ISBLANK($C25),"",IF(($C25=(INDIRECT(P$2&amp;"!E"&amp;$T25))),(INDIRECT(P$2&amp;"!F"&amp;$T25)),0))</f>
        <v>7</v>
      </c>
      <c r="Q25" s="42" cm="1">
        <f t="array" aca="1" ref="Q25" ca="1">IF(ISBLANK($C25),"",IF(($C25=(INDIRECT(Q$2&amp;"!E"&amp;$T25))),(INDIRECT(Q$2&amp;"!F"&amp;$T25)),0))</f>
        <v>0</v>
      </c>
      <c r="R25" s="42" cm="1">
        <f t="array" aca="1" ref="R25" ca="1">IF(ISBLANK($C25),"",IF(($C25=(INDIRECT(R$2&amp;"!E"&amp;$T25))),(INDIRECT(R$2&amp;"!F"&amp;$T25)),0))</f>
        <v>38</v>
      </c>
      <c r="S25" s="43" cm="1">
        <f t="array" aca="1" ref="S25" ca="1">IF(ISBLANK($C25),"",IF(($C25=(INDIRECT(S$2&amp;"!E"&amp;$T25))),(INDIRECT(S$2&amp;"!F"&amp;$T25)),0))</f>
        <v>21</v>
      </c>
      <c r="T25" s="50">
        <f t="shared" si="8"/>
        <v>24</v>
      </c>
      <c r="U25" s="78">
        <f t="shared" ca="1" si="2"/>
        <v>14</v>
      </c>
      <c r="V25" s="80">
        <f t="shared" ca="1" si="3"/>
        <v>33.857142857142854</v>
      </c>
      <c r="W25" s="79" t="s">
        <v>68</v>
      </c>
      <c r="X25" s="86">
        <f t="shared" ca="1" si="4"/>
        <v>1</v>
      </c>
      <c r="Y25" s="87">
        <f t="shared" ca="1" si="5"/>
        <v>17</v>
      </c>
      <c r="Z25" s="79" t="s">
        <v>68</v>
      </c>
      <c r="AA25" t="str" cm="1">
        <f t="array" aca="1" ref="AA25" ca="1">IF(ISBLANK($C25),"",IF(E25=0,INDIRECT(E$2&amp;"!F"&amp;$T25),""))</f>
        <v/>
      </c>
      <c r="AB25" t="str" cm="1">
        <f t="array" aca="1" ref="AB25" ca="1">IF(ISBLANK($C25),"",IF(F25=0,INDIRECT(F$2&amp;"!F"&amp;$T25),""))</f>
        <v/>
      </c>
      <c r="AC25" t="str" cm="1">
        <f t="array" aca="1" ref="AC25" ca="1">IF(ISBLANK($C25),"",IF(G25=0,INDIRECT(G$2&amp;"!F"&amp;$T25),""))</f>
        <v/>
      </c>
      <c r="AD25" t="str" cm="1">
        <f t="array" aca="1" ref="AD25" ca="1">IF(ISBLANK($C25),"",IF(H25=0,INDIRECT(H$2&amp;"!F"&amp;$T25),""))</f>
        <v/>
      </c>
      <c r="AE25" t="str" cm="1">
        <f t="array" aca="1" ref="AE25" ca="1">IF(ISBLANK($C25),"",IF(I25=0,INDIRECT(I$2&amp;"!F"&amp;$T25),""))</f>
        <v/>
      </c>
      <c r="AF25" t="str" cm="1">
        <f t="array" aca="1" ref="AF25" ca="1">IF(ISBLANK($C25),"",IF(J25=0,INDIRECT(J$2&amp;"!F"&amp;$T25),""))</f>
        <v/>
      </c>
      <c r="AG25" t="str" cm="1">
        <f t="array" aca="1" ref="AG25" ca="1">IF(ISBLANK($C25),"",IF(K25=0,INDIRECT(K$2&amp;"!F"&amp;$T25),""))</f>
        <v/>
      </c>
      <c r="AH25" t="str" cm="1">
        <f t="array" aca="1" ref="AH25" ca="1">IF(ISBLANK($C25),"",IF(L25=0,INDIRECT(L$2&amp;"!F"&amp;$T25),""))</f>
        <v/>
      </c>
      <c r="AI25" t="str" cm="1">
        <f t="array" aca="1" ref="AI25" ca="1">IF(ISBLANK($C25),"",IF(M25=0,INDIRECT(M$2&amp;"!F"&amp;$T25),""))</f>
        <v/>
      </c>
      <c r="AJ25" t="str" cm="1">
        <f t="array" aca="1" ref="AJ25" ca="1">IF(ISBLANK($C25),"",IF(N25=0,INDIRECT(N$2&amp;"!F"&amp;$T25),""))</f>
        <v/>
      </c>
      <c r="AK25" t="str" cm="1">
        <f t="array" aca="1" ref="AK25" ca="1">IF(ISBLANK($C25),"",IF(O25=0,INDIRECT(O$2&amp;"!F"&amp;$T25),""))</f>
        <v/>
      </c>
      <c r="AL25" t="str" cm="1">
        <f t="array" aca="1" ref="AL25" ca="1">IF(ISBLANK($C25),"",IF(P25=0,INDIRECT(P$2&amp;"!F"&amp;$T25),""))</f>
        <v/>
      </c>
      <c r="AM25" cm="1">
        <f t="array" aca="1" ref="AM25" ca="1">IF(ISBLANK($C25),"",IF(Q25=0,INDIRECT(Q$2&amp;"!F"&amp;$T25),""))</f>
        <v>17</v>
      </c>
      <c r="AN25" t="str" cm="1">
        <f t="array" aca="1" ref="AN25" ca="1">IF(ISBLANK($C25),"",IF(R25=0,INDIRECT(R$2&amp;"!F"&amp;$T25),""))</f>
        <v/>
      </c>
      <c r="AO25" t="str" cm="1">
        <f t="array" aca="1" ref="AO25" ca="1">IF(ISBLANK($C25),"",IF(S25=0,INDIRECT(S$2&amp;"!F"&amp;$T25),""))</f>
        <v/>
      </c>
      <c r="AP25">
        <f t="shared" ca="1" si="6"/>
        <v>1</v>
      </c>
      <c r="AQ25">
        <f t="shared" ca="1" si="7"/>
        <v>15</v>
      </c>
    </row>
    <row r="26" spans="1:43" ht="15.5" x14ac:dyDescent="0.35">
      <c r="A26" s="28">
        <v>43827</v>
      </c>
      <c r="B26" s="29" t="s">
        <v>71</v>
      </c>
      <c r="C26" s="29" t="s">
        <v>73</v>
      </c>
      <c r="D26" s="39"/>
      <c r="E26" s="41" cm="1">
        <f t="array" aca="1" ref="E26" ca="1">IF(ISBLANK($C26),"",IF(($C26=(INDIRECT(E$2&amp;"!E"&amp;$T26))),(INDIRECT(E$2&amp;"!F"&amp;$T26)),0))</f>
        <v>0</v>
      </c>
      <c r="F26" s="42" cm="1">
        <f t="array" aca="1" ref="F26" ca="1">IF(ISBLANK($C26),"",IF(($C26=(INDIRECT(F$2&amp;"!E"&amp;$T26))),(INDIRECT(F$2&amp;"!F"&amp;$T26)),0))</f>
        <v>0</v>
      </c>
      <c r="G26" s="42" cm="1">
        <f t="array" aca="1" ref="G26" ca="1">IF(ISBLANK($C26),"",IF(($C26=(INDIRECT(G$2&amp;"!E"&amp;$T26))),(INDIRECT(G$2&amp;"!F"&amp;$T26)),0))</f>
        <v>33</v>
      </c>
      <c r="H26" s="42" cm="1">
        <f t="array" aca="1" ref="H26" ca="1">IF(ISBLANK($C26),"",IF(($C26=(INDIRECT(H$2&amp;"!E"&amp;$T26))),(INDIRECT(H$2&amp;"!F"&amp;$T26)),0))</f>
        <v>0</v>
      </c>
      <c r="I26" s="42" cm="1">
        <f t="array" aca="1" ref="I26" ca="1">IF(ISBLANK($C26),"",IF(($C26=(INDIRECT(I$2&amp;"!E"&amp;$T26))),(INDIRECT(I$2&amp;"!F"&amp;$T26)),0))</f>
        <v>23</v>
      </c>
      <c r="J26" s="42" cm="1">
        <f t="array" aca="1" ref="J26" ca="1">IF(ISBLANK($C26),"",IF(($C26=(INDIRECT(J$2&amp;"!E"&amp;$T26))),(INDIRECT(J$2&amp;"!F"&amp;$T26)),0))</f>
        <v>7</v>
      </c>
      <c r="K26" s="42" cm="1">
        <f t="array" aca="1" ref="K26" ca="1">IF(ISBLANK($C26),"",IF(($C26=(INDIRECT(K$2&amp;"!E"&amp;$T26))),(INDIRECT(K$2&amp;"!F"&amp;$T26)),0))</f>
        <v>0</v>
      </c>
      <c r="L26" s="42" cm="1">
        <f t="array" aca="1" ref="L26" ca="1">IF(ISBLANK($C26),"",IF(($C26=(INDIRECT(L$2&amp;"!E"&amp;$T26))),(INDIRECT(L$2&amp;"!F"&amp;$T26)),0))</f>
        <v>0</v>
      </c>
      <c r="M26" s="42" cm="1">
        <f t="array" aca="1" ref="M26" ca="1">IF(ISBLANK($C26),"",IF(($C26=(INDIRECT(M$2&amp;"!E"&amp;$T26))),(INDIRECT(M$2&amp;"!F"&amp;$T26)),0))</f>
        <v>8</v>
      </c>
      <c r="N26" s="42" cm="1">
        <f t="array" aca="1" ref="N26" ca="1">IF(ISBLANK($C26),"",IF(($C26=(INDIRECT(N$2&amp;"!E"&amp;$T26))),(INDIRECT(N$2&amp;"!F"&amp;$T26)),0))</f>
        <v>0</v>
      </c>
      <c r="O26" s="42" cm="1">
        <f t="array" aca="1" ref="O26" ca="1">IF(ISBLANK($C26),"",IF(($C26=(INDIRECT(O$2&amp;"!E"&amp;$T26))),(INDIRECT(O$2&amp;"!F"&amp;$T26)),0))</f>
        <v>0</v>
      </c>
      <c r="P26" s="42" cm="1">
        <f t="array" aca="1" ref="P26" ca="1">IF(ISBLANK($C26),"",IF(($C26=(INDIRECT(P$2&amp;"!E"&amp;$T26))),(INDIRECT(P$2&amp;"!F"&amp;$T26)),0))</f>
        <v>25</v>
      </c>
      <c r="Q26" s="42" cm="1">
        <f t="array" aca="1" ref="Q26" ca="1">IF(ISBLANK($C26),"",IF(($C26=(INDIRECT(Q$2&amp;"!E"&amp;$T26))),(INDIRECT(Q$2&amp;"!F"&amp;$T26)),0))</f>
        <v>22</v>
      </c>
      <c r="R26" s="42" cm="1">
        <f t="array" aca="1" ref="R26" ca="1">IF(ISBLANK($C26),"",IF(($C26=(INDIRECT(R$2&amp;"!E"&amp;$T26))),(INDIRECT(R$2&amp;"!F"&amp;$T26)),0))</f>
        <v>0</v>
      </c>
      <c r="S26" s="43" cm="1">
        <f t="array" aca="1" ref="S26" ca="1">IF(ISBLANK($C26),"",IF(($C26=(INDIRECT(S$2&amp;"!E"&amp;$T26))),(INDIRECT(S$2&amp;"!F"&amp;$T26)),0))</f>
        <v>0</v>
      </c>
      <c r="T26" s="50">
        <f t="shared" si="8"/>
        <v>25</v>
      </c>
      <c r="U26" s="78">
        <f t="shared" ca="1" si="2"/>
        <v>6</v>
      </c>
      <c r="V26" s="80">
        <f t="shared" ca="1" si="3"/>
        <v>19.666666666666668</v>
      </c>
      <c r="W26" s="79" t="s">
        <v>71</v>
      </c>
      <c r="X26" s="86">
        <f t="shared" ca="1" si="4"/>
        <v>9</v>
      </c>
      <c r="Y26" s="87">
        <f t="shared" ca="1" si="5"/>
        <v>14.444444444444445</v>
      </c>
      <c r="Z26" s="79" t="s">
        <v>71</v>
      </c>
      <c r="AA26" cm="1">
        <f t="array" aca="1" ref="AA26" ca="1">IF(ISBLANK($C26),"",IF(E26=0,INDIRECT(E$2&amp;"!F"&amp;$T26),""))</f>
        <v>9</v>
      </c>
      <c r="AB26" cm="1">
        <f t="array" aca="1" ref="AB26" ca="1">IF(ISBLANK($C26),"",IF(F26=0,INDIRECT(F$2&amp;"!F"&amp;$T26),""))</f>
        <v>5</v>
      </c>
      <c r="AC26" t="str" cm="1">
        <f t="array" aca="1" ref="AC26" ca="1">IF(ISBLANK($C26),"",IF(G26=0,INDIRECT(G$2&amp;"!F"&amp;$T26),""))</f>
        <v/>
      </c>
      <c r="AD26" cm="1">
        <f t="array" aca="1" ref="AD26" ca="1">IF(ISBLANK($C26),"",IF(H26=0,INDIRECT(H$2&amp;"!F"&amp;$T26),""))</f>
        <v>7</v>
      </c>
      <c r="AE26" t="str" cm="1">
        <f t="array" aca="1" ref="AE26" ca="1">IF(ISBLANK($C26),"",IF(I26=0,INDIRECT(I$2&amp;"!F"&amp;$T26),""))</f>
        <v/>
      </c>
      <c r="AF26" t="str" cm="1">
        <f t="array" aca="1" ref="AF26" ca="1">IF(ISBLANK($C26),"",IF(J26=0,INDIRECT(J$2&amp;"!F"&amp;$T26),""))</f>
        <v/>
      </c>
      <c r="AG26" cm="1">
        <f t="array" aca="1" ref="AG26" ca="1">IF(ISBLANK($C26),"",IF(K26=0,INDIRECT(K$2&amp;"!F"&amp;$T26),""))</f>
        <v>18</v>
      </c>
      <c r="AH26" cm="1">
        <f t="array" aca="1" ref="AH26" ca="1">IF(ISBLANK($C26),"",IF(L26=0,INDIRECT(L$2&amp;"!F"&amp;$T26),""))</f>
        <v>8</v>
      </c>
      <c r="AI26" t="str" cm="1">
        <f t="array" aca="1" ref="AI26" ca="1">IF(ISBLANK($C26),"",IF(M26=0,INDIRECT(M$2&amp;"!F"&amp;$T26),""))</f>
        <v/>
      </c>
      <c r="AJ26" cm="1">
        <f t="array" aca="1" ref="AJ26" ca="1">IF(ISBLANK($C26),"",IF(N26=0,INDIRECT(N$2&amp;"!F"&amp;$T26),""))</f>
        <v>32</v>
      </c>
      <c r="AK26" cm="1">
        <f t="array" aca="1" ref="AK26" ca="1">IF(ISBLANK($C26),"",IF(O26=0,INDIRECT(O$2&amp;"!F"&amp;$T26),""))</f>
        <v>39</v>
      </c>
      <c r="AL26" t="str" cm="1">
        <f t="array" aca="1" ref="AL26" ca="1">IF(ISBLANK($C26),"",IF(P26=0,INDIRECT(P$2&amp;"!F"&amp;$T26),""))</f>
        <v/>
      </c>
      <c r="AM26" t="str" cm="1">
        <f t="array" aca="1" ref="AM26" ca="1">IF(ISBLANK($C26),"",IF(Q26=0,INDIRECT(Q$2&amp;"!F"&amp;$T26),""))</f>
        <v/>
      </c>
      <c r="AN26" cm="1">
        <f t="array" aca="1" ref="AN26" ca="1">IF(ISBLANK($C26),"",IF(R26=0,INDIRECT(R$2&amp;"!F"&amp;$T26),""))</f>
        <v>11</v>
      </c>
      <c r="AO26" cm="1">
        <f t="array" aca="1" ref="AO26" ca="1">IF(ISBLANK($C26),"",IF(S26=0,INDIRECT(S$2&amp;"!F"&amp;$T26),""))</f>
        <v>1</v>
      </c>
      <c r="AP26">
        <f t="shared" ca="1" si="6"/>
        <v>9</v>
      </c>
      <c r="AQ26">
        <f t="shared" ca="1" si="7"/>
        <v>15</v>
      </c>
    </row>
    <row r="27" spans="1:43" ht="15.5" x14ac:dyDescent="0.35">
      <c r="A27" s="28">
        <v>43829</v>
      </c>
      <c r="B27" s="29" t="s">
        <v>74</v>
      </c>
      <c r="C27" s="29" t="s">
        <v>75</v>
      </c>
      <c r="D27" s="39"/>
      <c r="E27" s="41" cm="1">
        <f t="array" aca="1" ref="E27" ca="1">IF(ISBLANK($C27),"",IF(($C27=(INDIRECT(E$2&amp;"!E"&amp;$T27))),(INDIRECT(E$2&amp;"!F"&amp;$T27)),0))</f>
        <v>0</v>
      </c>
      <c r="F27" s="42" cm="1">
        <f t="array" aca="1" ref="F27" ca="1">IF(ISBLANK($C27),"",IF(($C27=(INDIRECT(F$2&amp;"!E"&amp;$T27))),(INDIRECT(F$2&amp;"!F"&amp;$T27)),0))</f>
        <v>0</v>
      </c>
      <c r="G27" s="42" cm="1">
        <f t="array" aca="1" ref="G27" ca="1">IF(ISBLANK($C27),"",IF(($C27=(INDIRECT(G$2&amp;"!E"&amp;$T27))),(INDIRECT(G$2&amp;"!F"&amp;$T27)),0))</f>
        <v>0</v>
      </c>
      <c r="H27" s="42" cm="1">
        <f t="array" aca="1" ref="H27" ca="1">IF(ISBLANK($C27),"",IF(($C27=(INDIRECT(H$2&amp;"!E"&amp;$T27))),(INDIRECT(H$2&amp;"!F"&amp;$T27)),0))</f>
        <v>18</v>
      </c>
      <c r="I27" s="42" cm="1">
        <f t="array" aca="1" ref="I27" ca="1">IF(ISBLANK($C27),"",IF(($C27=(INDIRECT(I$2&amp;"!E"&amp;$T27))),(INDIRECT(I$2&amp;"!F"&amp;$T27)),0))</f>
        <v>18</v>
      </c>
      <c r="J27" s="42" cm="1">
        <f t="array" aca="1" ref="J27" ca="1">IF(ISBLANK($C27),"",IF(($C27=(INDIRECT(J$2&amp;"!E"&amp;$T27))),(INDIRECT(J$2&amp;"!F"&amp;$T27)),0))</f>
        <v>8</v>
      </c>
      <c r="K27" s="42" cm="1">
        <f t="array" aca="1" ref="K27" ca="1">IF(ISBLANK($C27),"",IF(($C27=(INDIRECT(K$2&amp;"!E"&amp;$T27))),(INDIRECT(K$2&amp;"!F"&amp;$T27)),0))</f>
        <v>14</v>
      </c>
      <c r="L27" s="42" cm="1">
        <f t="array" aca="1" ref="L27" ca="1">IF(ISBLANK($C27),"",IF(($C27=(INDIRECT(L$2&amp;"!E"&amp;$T27))),(INDIRECT(L$2&amp;"!F"&amp;$T27)),0))</f>
        <v>7</v>
      </c>
      <c r="M27" s="42" cm="1">
        <f t="array" aca="1" ref="M27" ca="1">IF(ISBLANK($C27),"",IF(($C27=(INDIRECT(M$2&amp;"!E"&amp;$T27))),(INDIRECT(M$2&amp;"!F"&amp;$T27)),0))</f>
        <v>24</v>
      </c>
      <c r="N27" s="42" cm="1">
        <f t="array" aca="1" ref="N27" ca="1">IF(ISBLANK($C27),"",IF(($C27=(INDIRECT(N$2&amp;"!E"&amp;$T27))),(INDIRECT(N$2&amp;"!F"&amp;$T27)),0))</f>
        <v>0</v>
      </c>
      <c r="O27" s="42" cm="1">
        <f t="array" aca="1" ref="O27" ca="1">IF(ISBLANK($C27),"",IF(($C27=(INDIRECT(O$2&amp;"!E"&amp;$T27))),(INDIRECT(O$2&amp;"!F"&amp;$T27)),0))</f>
        <v>25</v>
      </c>
      <c r="P27" s="42" cm="1">
        <f t="array" aca="1" ref="P27" ca="1">IF(ISBLANK($C27),"",IF(($C27=(INDIRECT(P$2&amp;"!E"&amp;$T27))),(INDIRECT(P$2&amp;"!F"&amp;$T27)),0))</f>
        <v>0</v>
      </c>
      <c r="Q27" s="42" cm="1">
        <f t="array" aca="1" ref="Q27" ca="1">IF(ISBLANK($C27),"",IF(($C27=(INDIRECT(Q$2&amp;"!E"&amp;$T27))),(INDIRECT(Q$2&amp;"!F"&amp;$T27)),0))</f>
        <v>5</v>
      </c>
      <c r="R27" s="42" cm="1">
        <f t="array" aca="1" ref="R27" ca="1">IF(ISBLANK($C27),"",IF(($C27=(INDIRECT(R$2&amp;"!E"&amp;$T27))),(INDIRECT(R$2&amp;"!F"&amp;$T27)),0))</f>
        <v>33</v>
      </c>
      <c r="S27" s="43" cm="1">
        <f t="array" aca="1" ref="S27" ca="1">IF(ISBLANK($C27),"",IF(($C27=(INDIRECT(S$2&amp;"!E"&amp;$T27))),(INDIRECT(S$2&amp;"!F"&amp;$T27)),0))</f>
        <v>19</v>
      </c>
      <c r="T27" s="50">
        <f t="shared" si="8"/>
        <v>26</v>
      </c>
      <c r="U27" s="78">
        <f t="shared" ca="1" si="2"/>
        <v>10</v>
      </c>
      <c r="V27" s="80">
        <f t="shared" ca="1" si="3"/>
        <v>17.100000000000001</v>
      </c>
      <c r="W27" s="79" t="s">
        <v>74</v>
      </c>
      <c r="X27" s="86">
        <f t="shared" ca="1" si="4"/>
        <v>5</v>
      </c>
      <c r="Y27" s="87">
        <f t="shared" ca="1" si="5"/>
        <v>14.8</v>
      </c>
      <c r="Z27" s="79" t="s">
        <v>74</v>
      </c>
      <c r="AA27" cm="1">
        <f t="array" aca="1" ref="AA27" ca="1">IF(ISBLANK($C27),"",IF(E27=0,INDIRECT(E$2&amp;"!F"&amp;$T27),""))</f>
        <v>8</v>
      </c>
      <c r="AB27" cm="1">
        <f t="array" aca="1" ref="AB27" ca="1">IF(ISBLANK($C27),"",IF(F27=0,INDIRECT(F$2&amp;"!F"&amp;$T27),""))</f>
        <v>22</v>
      </c>
      <c r="AC27" cm="1">
        <f t="array" aca="1" ref="AC27" ca="1">IF(ISBLANK($C27),"",IF(G27=0,INDIRECT(G$2&amp;"!F"&amp;$T27),""))</f>
        <v>4</v>
      </c>
      <c r="AD27" t="str" cm="1">
        <f t="array" aca="1" ref="AD27" ca="1">IF(ISBLANK($C27),"",IF(H27=0,INDIRECT(H$2&amp;"!F"&amp;$T27),""))</f>
        <v/>
      </c>
      <c r="AE27" t="str" cm="1">
        <f t="array" aca="1" ref="AE27" ca="1">IF(ISBLANK($C27),"",IF(I27=0,INDIRECT(I$2&amp;"!F"&amp;$T27),""))</f>
        <v/>
      </c>
      <c r="AF27" t="str" cm="1">
        <f t="array" aca="1" ref="AF27" ca="1">IF(ISBLANK($C27),"",IF(J27=0,INDIRECT(J$2&amp;"!F"&amp;$T27),""))</f>
        <v/>
      </c>
      <c r="AG27" t="str" cm="1">
        <f t="array" aca="1" ref="AG27" ca="1">IF(ISBLANK($C27),"",IF(K27=0,INDIRECT(K$2&amp;"!F"&amp;$T27),""))</f>
        <v/>
      </c>
      <c r="AH27" t="str" cm="1">
        <f t="array" aca="1" ref="AH27" ca="1">IF(ISBLANK($C27),"",IF(L27=0,INDIRECT(L$2&amp;"!F"&amp;$T27),""))</f>
        <v/>
      </c>
      <c r="AI27" t="str" cm="1">
        <f t="array" aca="1" ref="AI27" ca="1">IF(ISBLANK($C27),"",IF(M27=0,INDIRECT(M$2&amp;"!F"&amp;$T27),""))</f>
        <v/>
      </c>
      <c r="AJ27" cm="1">
        <f t="array" aca="1" ref="AJ27" ca="1">IF(ISBLANK($C27),"",IF(N27=0,INDIRECT(N$2&amp;"!F"&amp;$T27),""))</f>
        <v>14</v>
      </c>
      <c r="AK27" t="str" cm="1">
        <f t="array" aca="1" ref="AK27" ca="1">IF(ISBLANK($C27),"",IF(O27=0,INDIRECT(O$2&amp;"!F"&amp;$T27),""))</f>
        <v/>
      </c>
      <c r="AL27" cm="1">
        <f t="array" aca="1" ref="AL27" ca="1">IF(ISBLANK($C27),"",IF(P27=0,INDIRECT(P$2&amp;"!F"&amp;$T27),""))</f>
        <v>26</v>
      </c>
      <c r="AM27" t="str" cm="1">
        <f t="array" aca="1" ref="AM27" ca="1">IF(ISBLANK($C27),"",IF(Q27=0,INDIRECT(Q$2&amp;"!F"&amp;$T27),""))</f>
        <v/>
      </c>
      <c r="AN27" t="str" cm="1">
        <f t="array" aca="1" ref="AN27" ca="1">IF(ISBLANK($C27),"",IF(R27=0,INDIRECT(R$2&amp;"!F"&amp;$T27),""))</f>
        <v/>
      </c>
      <c r="AO27" t="str" cm="1">
        <f t="array" aca="1" ref="AO27" ca="1">IF(ISBLANK($C27),"",IF(S27=0,INDIRECT(S$2&amp;"!F"&amp;$T27),""))</f>
        <v/>
      </c>
      <c r="AP27">
        <f t="shared" ca="1" si="6"/>
        <v>5</v>
      </c>
      <c r="AQ27">
        <f t="shared" ca="1" si="7"/>
        <v>15</v>
      </c>
    </row>
    <row r="28" spans="1:43" ht="15.5" x14ac:dyDescent="0.35">
      <c r="A28" s="28">
        <v>43829</v>
      </c>
      <c r="B28" s="29" t="s">
        <v>77</v>
      </c>
      <c r="C28" s="29" t="s">
        <v>148</v>
      </c>
      <c r="D28" s="39"/>
      <c r="E28" s="41" cm="1">
        <f t="array" aca="1" ref="E28" ca="1">IF(ISBLANK($C28),"",IF(($C28=(INDIRECT(E$2&amp;"!E"&amp;$T28))),(INDIRECT(E$2&amp;"!F"&amp;$T28)),0))</f>
        <v>20</v>
      </c>
      <c r="F28" s="42" cm="1">
        <f t="array" aca="1" ref="F28" ca="1">IF(ISBLANK($C28),"",IF(($C28=(INDIRECT(F$2&amp;"!E"&amp;$T28))),(INDIRECT(F$2&amp;"!F"&amp;$T28)),0))</f>
        <v>10</v>
      </c>
      <c r="G28" s="42" cm="1">
        <f t="array" aca="1" ref="G28" ca="1">IF(ISBLANK($C28),"",IF(($C28=(INDIRECT(G$2&amp;"!E"&amp;$T28))),(INDIRECT(G$2&amp;"!F"&amp;$T28)),0))</f>
        <v>0</v>
      </c>
      <c r="H28" s="42" cm="1">
        <f t="array" aca="1" ref="H28" ca="1">IF(ISBLANK($C28),"",IF(($C28=(INDIRECT(H$2&amp;"!E"&amp;$T28))),(INDIRECT(H$2&amp;"!F"&amp;$T28)),0))</f>
        <v>0</v>
      </c>
      <c r="I28" s="42" cm="1">
        <f t="array" aca="1" ref="I28" ca="1">IF(ISBLANK($C28),"",IF(($C28=(INDIRECT(I$2&amp;"!E"&amp;$T28))),(INDIRECT(I$2&amp;"!F"&amp;$T28)),0))</f>
        <v>0</v>
      </c>
      <c r="J28" s="42" cm="1">
        <f t="array" aca="1" ref="J28" ca="1">IF(ISBLANK($C28),"",IF(($C28=(INDIRECT(J$2&amp;"!E"&amp;$T28))),(INDIRECT(J$2&amp;"!F"&amp;$T28)),0))</f>
        <v>27</v>
      </c>
      <c r="K28" s="42" cm="1">
        <f t="array" aca="1" ref="K28" ca="1">IF(ISBLANK($C28),"",IF(($C28=(INDIRECT(K$2&amp;"!E"&amp;$T28))),(INDIRECT(K$2&amp;"!F"&amp;$T28)),0))</f>
        <v>0</v>
      </c>
      <c r="L28" s="42" cm="1">
        <f t="array" aca="1" ref="L28" ca="1">IF(ISBLANK($C28),"",IF(($C28=(INDIRECT(L$2&amp;"!E"&amp;$T28))),(INDIRECT(L$2&amp;"!F"&amp;$T28)),0))</f>
        <v>3</v>
      </c>
      <c r="M28" s="42" cm="1">
        <f t="array" aca="1" ref="M28" ca="1">IF(ISBLANK($C28),"",IF(($C28=(INDIRECT(M$2&amp;"!E"&amp;$T28))),(INDIRECT(M$2&amp;"!F"&amp;$T28)),0))</f>
        <v>10</v>
      </c>
      <c r="N28" s="42" cm="1">
        <f t="array" aca="1" ref="N28" ca="1">IF(ISBLANK($C28),"",IF(($C28=(INDIRECT(N$2&amp;"!E"&amp;$T28))),(INDIRECT(N$2&amp;"!F"&amp;$T28)),0))</f>
        <v>16</v>
      </c>
      <c r="O28" s="42" cm="1">
        <f t="array" aca="1" ref="O28" ca="1">IF(ISBLANK($C28),"",IF(($C28=(INDIRECT(O$2&amp;"!E"&amp;$T28))),(INDIRECT(O$2&amp;"!F"&amp;$T28)),0))</f>
        <v>7</v>
      </c>
      <c r="P28" s="42" cm="1">
        <f t="array" aca="1" ref="P28" ca="1">IF(ISBLANK($C28),"",IF(($C28=(INDIRECT(P$2&amp;"!E"&amp;$T28))),(INDIRECT(P$2&amp;"!F"&amp;$T28)),0))</f>
        <v>0</v>
      </c>
      <c r="Q28" s="42" cm="1">
        <f t="array" aca="1" ref="Q28" ca="1">IF(ISBLANK($C28),"",IF(($C28=(INDIRECT(Q$2&amp;"!E"&amp;$T28))),(INDIRECT(Q$2&amp;"!F"&amp;$T28)),0))</f>
        <v>14</v>
      </c>
      <c r="R28" s="42" cm="1">
        <f t="array" aca="1" ref="R28" ca="1">IF(ISBLANK($C28),"",IF(($C28=(INDIRECT(R$2&amp;"!E"&amp;$T28))),(INDIRECT(R$2&amp;"!F"&amp;$T28)),0))</f>
        <v>32</v>
      </c>
      <c r="S28" s="43" cm="1">
        <f t="array" aca="1" ref="S28" ca="1">IF(ISBLANK($C28),"",IF(($C28=(INDIRECT(S$2&amp;"!E"&amp;$T28))),(INDIRECT(S$2&amp;"!F"&amp;$T28)),0))</f>
        <v>31</v>
      </c>
      <c r="T28" s="50">
        <f t="shared" si="8"/>
        <v>27</v>
      </c>
      <c r="U28" s="78">
        <f t="shared" ca="1" si="2"/>
        <v>10</v>
      </c>
      <c r="V28" s="80">
        <f t="shared" ca="1" si="3"/>
        <v>17</v>
      </c>
      <c r="W28" s="79" t="s">
        <v>77</v>
      </c>
      <c r="X28" s="86">
        <f t="shared" ca="1" si="4"/>
        <v>5</v>
      </c>
      <c r="Y28" s="87">
        <f t="shared" ca="1" si="5"/>
        <v>14.2</v>
      </c>
      <c r="Z28" s="79" t="s">
        <v>77</v>
      </c>
      <c r="AA28" t="str" cm="1">
        <f t="array" aca="1" ref="AA28" ca="1">IF(ISBLANK($C28),"",IF(E28=0,INDIRECT(E$2&amp;"!F"&amp;$T28),""))</f>
        <v/>
      </c>
      <c r="AB28" t="str" cm="1">
        <f t="array" aca="1" ref="AB28" ca="1">IF(ISBLANK($C28),"",IF(F28=0,INDIRECT(F$2&amp;"!F"&amp;$T28),""))</f>
        <v/>
      </c>
      <c r="AC28" cm="1">
        <f t="array" aca="1" ref="AC28" ca="1">IF(ISBLANK($C28),"",IF(G28=0,INDIRECT(G$2&amp;"!F"&amp;$T28),""))</f>
        <v>9</v>
      </c>
      <c r="AD28" cm="1">
        <f t="array" aca="1" ref="AD28" ca="1">IF(ISBLANK($C28),"",IF(H28=0,INDIRECT(H$2&amp;"!F"&amp;$T28),""))</f>
        <v>8</v>
      </c>
      <c r="AE28" cm="1">
        <f t="array" aca="1" ref="AE28" ca="1">IF(ISBLANK($C28),"",IF(I28=0,INDIRECT(I$2&amp;"!F"&amp;$T28),""))</f>
        <v>14</v>
      </c>
      <c r="AF28" t="str" cm="1">
        <f t="array" aca="1" ref="AF28" ca="1">IF(ISBLANK($C28),"",IF(J28=0,INDIRECT(J$2&amp;"!F"&amp;$T28),""))</f>
        <v/>
      </c>
      <c r="AG28" cm="1">
        <f t="array" aca="1" ref="AG28" ca="1">IF(ISBLANK($C28),"",IF(K28=0,INDIRECT(K$2&amp;"!F"&amp;$T28),""))</f>
        <v>16</v>
      </c>
      <c r="AH28" t="str" cm="1">
        <f t="array" aca="1" ref="AH28" ca="1">IF(ISBLANK($C28),"",IF(L28=0,INDIRECT(L$2&amp;"!F"&amp;$T28),""))</f>
        <v/>
      </c>
      <c r="AI28" t="str" cm="1">
        <f t="array" aca="1" ref="AI28" ca="1">IF(ISBLANK($C28),"",IF(M28=0,INDIRECT(M$2&amp;"!F"&amp;$T28),""))</f>
        <v/>
      </c>
      <c r="AJ28" t="str" cm="1">
        <f t="array" aca="1" ref="AJ28" ca="1">IF(ISBLANK($C28),"",IF(N28=0,INDIRECT(N$2&amp;"!F"&amp;$T28),""))</f>
        <v/>
      </c>
      <c r="AK28" t="str" cm="1">
        <f t="array" aca="1" ref="AK28" ca="1">IF(ISBLANK($C28),"",IF(O28=0,INDIRECT(O$2&amp;"!F"&amp;$T28),""))</f>
        <v/>
      </c>
      <c r="AL28" cm="1">
        <f t="array" aca="1" ref="AL28" ca="1">IF(ISBLANK($C28),"",IF(P28=0,INDIRECT(P$2&amp;"!F"&amp;$T28),""))</f>
        <v>24</v>
      </c>
      <c r="AM28" t="str" cm="1">
        <f t="array" aca="1" ref="AM28" ca="1">IF(ISBLANK($C28),"",IF(Q28=0,INDIRECT(Q$2&amp;"!F"&amp;$T28),""))</f>
        <v/>
      </c>
      <c r="AN28" t="str" cm="1">
        <f t="array" aca="1" ref="AN28" ca="1">IF(ISBLANK($C28),"",IF(R28=0,INDIRECT(R$2&amp;"!F"&amp;$T28),""))</f>
        <v/>
      </c>
      <c r="AO28" t="str" cm="1">
        <f t="array" aca="1" ref="AO28" ca="1">IF(ISBLANK($C28),"",IF(S28=0,INDIRECT(S$2&amp;"!F"&amp;$T28),""))</f>
        <v/>
      </c>
      <c r="AP28">
        <f t="shared" ca="1" si="6"/>
        <v>5</v>
      </c>
      <c r="AQ28">
        <f t="shared" ca="1" si="7"/>
        <v>15</v>
      </c>
    </row>
    <row r="29" spans="1:43" ht="15.5" x14ac:dyDescent="0.35">
      <c r="A29" s="28">
        <v>43829</v>
      </c>
      <c r="B29" s="29" t="s">
        <v>80</v>
      </c>
      <c r="C29" s="29" t="s">
        <v>82</v>
      </c>
      <c r="D29" s="39"/>
      <c r="E29" s="41" cm="1">
        <f t="array" aca="1" ref="E29" ca="1">IF(ISBLANK($C29),"",IF(($C29=(INDIRECT(E$2&amp;"!E"&amp;$T29))),(INDIRECT(E$2&amp;"!F"&amp;$T29)),0))</f>
        <v>0</v>
      </c>
      <c r="F29" s="42" cm="1">
        <f t="array" aca="1" ref="F29" ca="1">IF(ISBLANK($C29),"",IF(($C29=(INDIRECT(F$2&amp;"!E"&amp;$T29))),(INDIRECT(F$2&amp;"!F"&amp;$T29)),0))</f>
        <v>29</v>
      </c>
      <c r="G29" s="42" cm="1">
        <f t="array" aca="1" ref="G29" ca="1">IF(ISBLANK($C29),"",IF(($C29=(INDIRECT(G$2&amp;"!E"&amp;$T29))),(INDIRECT(G$2&amp;"!F"&amp;$T29)),0))</f>
        <v>19</v>
      </c>
      <c r="H29" s="42" cm="1">
        <f t="array" aca="1" ref="H29" ca="1">IF(ISBLANK($C29),"",IF(($C29=(INDIRECT(H$2&amp;"!E"&amp;$T29))),(INDIRECT(H$2&amp;"!F"&amp;$T29)),0))</f>
        <v>25</v>
      </c>
      <c r="I29" s="42" cm="1">
        <f t="array" aca="1" ref="I29" ca="1">IF(ISBLANK($C29),"",IF(($C29=(INDIRECT(I$2&amp;"!E"&amp;$T29))),(INDIRECT(I$2&amp;"!F"&amp;$T29)),0))</f>
        <v>17</v>
      </c>
      <c r="J29" s="42" cm="1">
        <f t="array" aca="1" ref="J29" ca="1">IF(ISBLANK($C29),"",IF(($C29=(INDIRECT(J$2&amp;"!E"&amp;$T29))),(INDIRECT(J$2&amp;"!F"&amp;$T29)),0))</f>
        <v>14</v>
      </c>
      <c r="K29" s="42" cm="1">
        <f t="array" aca="1" ref="K29" ca="1">IF(ISBLANK($C29),"",IF(($C29=(INDIRECT(K$2&amp;"!E"&amp;$T29))),(INDIRECT(K$2&amp;"!F"&amp;$T29)),0))</f>
        <v>3</v>
      </c>
      <c r="L29" s="42" cm="1">
        <f t="array" aca="1" ref="L29" ca="1">IF(ISBLANK($C29),"",IF(($C29=(INDIRECT(L$2&amp;"!E"&amp;$T29))),(INDIRECT(L$2&amp;"!F"&amp;$T29)),0))</f>
        <v>15</v>
      </c>
      <c r="M29" s="42" cm="1">
        <f t="array" aca="1" ref="M29" ca="1">IF(ISBLANK($C29),"",IF(($C29=(INDIRECT(M$2&amp;"!E"&amp;$T29))),(INDIRECT(M$2&amp;"!F"&amp;$T29)),0))</f>
        <v>17</v>
      </c>
      <c r="N29" s="42" cm="1">
        <f t="array" aca="1" ref="N29" ca="1">IF(ISBLANK($C29),"",IF(($C29=(INDIRECT(N$2&amp;"!E"&amp;$T29))),(INDIRECT(N$2&amp;"!F"&amp;$T29)),0))</f>
        <v>0</v>
      </c>
      <c r="O29" s="42" cm="1">
        <f t="array" aca="1" ref="O29" ca="1">IF(ISBLANK($C29),"",IF(($C29=(INDIRECT(O$2&amp;"!E"&amp;$T29))),(INDIRECT(O$2&amp;"!F"&amp;$T29)),0))</f>
        <v>0</v>
      </c>
      <c r="P29" s="42" cm="1">
        <f t="array" aca="1" ref="P29" ca="1">IF(ISBLANK($C29),"",IF(($C29=(INDIRECT(P$2&amp;"!E"&amp;$T29))),(INDIRECT(P$2&amp;"!F"&amp;$T29)),0))</f>
        <v>23</v>
      </c>
      <c r="Q29" s="42" cm="1">
        <f t="array" aca="1" ref="Q29" ca="1">IF(ISBLANK($C29),"",IF(($C29=(INDIRECT(Q$2&amp;"!E"&amp;$T29))),(INDIRECT(Q$2&amp;"!F"&amp;$T29)),0))</f>
        <v>18</v>
      </c>
      <c r="R29" s="42" cm="1">
        <f t="array" aca="1" ref="R29" ca="1">IF(ISBLANK($C29),"",IF(($C29=(INDIRECT(R$2&amp;"!E"&amp;$T29))),(INDIRECT(R$2&amp;"!F"&amp;$T29)),0))</f>
        <v>12</v>
      </c>
      <c r="S29" s="43" cm="1">
        <f t="array" aca="1" ref="S29" ca="1">IF(ISBLANK($C29),"",IF(($C29=(INDIRECT(S$2&amp;"!E"&amp;$T29))),(INDIRECT(S$2&amp;"!F"&amp;$T29)),0))</f>
        <v>0</v>
      </c>
      <c r="T29" s="50">
        <f t="shared" si="8"/>
        <v>28</v>
      </c>
      <c r="U29" s="78">
        <f t="shared" ca="1" si="2"/>
        <v>11</v>
      </c>
      <c r="V29" s="80">
        <f t="shared" ca="1" si="3"/>
        <v>17.454545454545453</v>
      </c>
      <c r="W29" s="79" t="s">
        <v>80</v>
      </c>
      <c r="X29" s="86">
        <f t="shared" ca="1" si="4"/>
        <v>4</v>
      </c>
      <c r="Y29" s="87">
        <f t="shared" ca="1" si="5"/>
        <v>10.25</v>
      </c>
      <c r="Z29" s="79" t="s">
        <v>80</v>
      </c>
      <c r="AA29" cm="1">
        <f t="array" aca="1" ref="AA29" ca="1">IF(ISBLANK($C29),"",IF(E29=0,INDIRECT(E$2&amp;"!F"&amp;$T29),""))</f>
        <v>6</v>
      </c>
      <c r="AB29" t="str" cm="1">
        <f t="array" aca="1" ref="AB29" ca="1">IF(ISBLANK($C29),"",IF(F29=0,INDIRECT(F$2&amp;"!F"&amp;$T29),""))</f>
        <v/>
      </c>
      <c r="AC29" t="str" cm="1">
        <f t="array" aca="1" ref="AC29" ca="1">IF(ISBLANK($C29),"",IF(G29=0,INDIRECT(G$2&amp;"!F"&amp;$T29),""))</f>
        <v/>
      </c>
      <c r="AD29" t="str" cm="1">
        <f t="array" aca="1" ref="AD29" ca="1">IF(ISBLANK($C29),"",IF(H29=0,INDIRECT(H$2&amp;"!F"&amp;$T29),""))</f>
        <v/>
      </c>
      <c r="AE29" t="str" cm="1">
        <f t="array" aca="1" ref="AE29" ca="1">IF(ISBLANK($C29),"",IF(I29=0,INDIRECT(I$2&amp;"!F"&amp;$T29),""))</f>
        <v/>
      </c>
      <c r="AF29" t="str" cm="1">
        <f t="array" aca="1" ref="AF29" ca="1">IF(ISBLANK($C29),"",IF(J29=0,INDIRECT(J$2&amp;"!F"&amp;$T29),""))</f>
        <v/>
      </c>
      <c r="AG29" t="str" cm="1">
        <f t="array" aca="1" ref="AG29" ca="1">IF(ISBLANK($C29),"",IF(K29=0,INDIRECT(K$2&amp;"!F"&amp;$T29),""))</f>
        <v/>
      </c>
      <c r="AH29" t="str" cm="1">
        <f t="array" aca="1" ref="AH29" ca="1">IF(ISBLANK($C29),"",IF(L29=0,INDIRECT(L$2&amp;"!F"&amp;$T29),""))</f>
        <v/>
      </c>
      <c r="AI29" t="str" cm="1">
        <f t="array" aca="1" ref="AI29" ca="1">IF(ISBLANK($C29),"",IF(M29=0,INDIRECT(M$2&amp;"!F"&amp;$T29),""))</f>
        <v/>
      </c>
      <c r="AJ29" cm="1">
        <f t="array" aca="1" ref="AJ29" ca="1">IF(ISBLANK($C29),"",IF(N29=0,INDIRECT(N$2&amp;"!F"&amp;$T29),""))</f>
        <v>17</v>
      </c>
      <c r="AK29" cm="1">
        <f t="array" aca="1" ref="AK29" ca="1">IF(ISBLANK($C29),"",IF(O29=0,INDIRECT(O$2&amp;"!F"&amp;$T29),""))</f>
        <v>8</v>
      </c>
      <c r="AL29" t="str" cm="1">
        <f t="array" aca="1" ref="AL29" ca="1">IF(ISBLANK($C29),"",IF(P29=0,INDIRECT(P$2&amp;"!F"&amp;$T29),""))</f>
        <v/>
      </c>
      <c r="AM29" t="str" cm="1">
        <f t="array" aca="1" ref="AM29" ca="1">IF(ISBLANK($C29),"",IF(Q29=0,INDIRECT(Q$2&amp;"!F"&amp;$T29),""))</f>
        <v/>
      </c>
      <c r="AN29" t="str" cm="1">
        <f t="array" aca="1" ref="AN29" ca="1">IF(ISBLANK($C29),"",IF(R29=0,INDIRECT(R$2&amp;"!F"&amp;$T29),""))</f>
        <v/>
      </c>
      <c r="AO29" cm="1">
        <f t="array" aca="1" ref="AO29" ca="1">IF(ISBLANK($C29),"",IF(S29=0,INDIRECT(S$2&amp;"!F"&amp;$T29),""))</f>
        <v>10</v>
      </c>
      <c r="AP29">
        <f t="shared" ca="1" si="6"/>
        <v>4</v>
      </c>
      <c r="AQ29">
        <f t="shared" ca="1" si="7"/>
        <v>15</v>
      </c>
    </row>
    <row r="30" spans="1:43" ht="15.5" x14ac:dyDescent="0.35">
      <c r="A30" s="28">
        <v>43829</v>
      </c>
      <c r="B30" s="29" t="s">
        <v>83</v>
      </c>
      <c r="C30" s="29" t="s">
        <v>84</v>
      </c>
      <c r="D30" s="39"/>
      <c r="E30" s="41" cm="1">
        <f t="array" aca="1" ref="E30" ca="1">IF(ISBLANK($C30),"",IF(($C30=(INDIRECT(E$2&amp;"!E"&amp;$T30))),(INDIRECT(E$2&amp;"!F"&amp;$T30)),0))</f>
        <v>38</v>
      </c>
      <c r="F30" s="42" cm="1">
        <f t="array" aca="1" ref="F30" ca="1">IF(ISBLANK($C30),"",IF(($C30=(INDIRECT(F$2&amp;"!E"&amp;$T30))),(INDIRECT(F$2&amp;"!F"&amp;$T30)),0))</f>
        <v>40</v>
      </c>
      <c r="G30" s="42" cm="1">
        <f t="array" aca="1" ref="G30" ca="1">IF(ISBLANK($C30),"",IF(($C30=(INDIRECT(G$2&amp;"!E"&amp;$T30))),(INDIRECT(G$2&amp;"!F"&amp;$T30)),0))</f>
        <v>14</v>
      </c>
      <c r="H30" s="42" cm="1">
        <f t="array" aca="1" ref="H30" ca="1">IF(ISBLANK($C30),"",IF(($C30=(INDIRECT(H$2&amp;"!E"&amp;$T30))),(INDIRECT(H$2&amp;"!F"&amp;$T30)),0))</f>
        <v>37</v>
      </c>
      <c r="I30" s="42" cm="1">
        <f t="array" aca="1" ref="I30" ca="1">IF(ISBLANK($C30),"",IF(($C30=(INDIRECT(I$2&amp;"!E"&amp;$T30))),(INDIRECT(I$2&amp;"!F"&amp;$T30)),0))</f>
        <v>40</v>
      </c>
      <c r="J30" s="42" cm="1">
        <f t="array" aca="1" ref="J30" ca="1">IF(ISBLANK($C30),"",IF(($C30=(INDIRECT(J$2&amp;"!E"&amp;$T30))),(INDIRECT(J$2&amp;"!F"&amp;$T30)),0))</f>
        <v>37</v>
      </c>
      <c r="K30" s="42" cm="1">
        <f t="array" aca="1" ref="K30" ca="1">IF(ISBLANK($C30),"",IF(($C30=(INDIRECT(K$2&amp;"!E"&amp;$T30))),(INDIRECT(K$2&amp;"!F"&amp;$T30)),0))</f>
        <v>37</v>
      </c>
      <c r="L30" s="42" cm="1">
        <f t="array" aca="1" ref="L30" ca="1">IF(ISBLANK($C30),"",IF(($C30=(INDIRECT(L$2&amp;"!E"&amp;$T30))),(INDIRECT(L$2&amp;"!F"&amp;$T30)),0))</f>
        <v>38</v>
      </c>
      <c r="M30" s="42" cm="1">
        <f t="array" aca="1" ref="M30" ca="1">IF(ISBLANK($C30),"",IF(($C30=(INDIRECT(M$2&amp;"!E"&amp;$T30))),(INDIRECT(M$2&amp;"!F"&amp;$T30)),0))</f>
        <v>36</v>
      </c>
      <c r="N30" s="42" cm="1">
        <f t="array" aca="1" ref="N30" ca="1">IF(ISBLANK($C30),"",IF(($C30=(INDIRECT(N$2&amp;"!E"&amp;$T30))),(INDIRECT(N$2&amp;"!F"&amp;$T30)),0))</f>
        <v>38</v>
      </c>
      <c r="O30" s="42" cm="1">
        <f t="array" aca="1" ref="O30" ca="1">IF(ISBLANK($C30),"",IF(($C30=(INDIRECT(O$2&amp;"!E"&amp;$T30))),(INDIRECT(O$2&amp;"!F"&amp;$T30)),0))</f>
        <v>0</v>
      </c>
      <c r="P30" s="42" cm="1">
        <f t="array" aca="1" ref="P30" ca="1">IF(ISBLANK($C30),"",IF(($C30=(INDIRECT(P$2&amp;"!E"&amp;$T30))),(INDIRECT(P$2&amp;"!F"&amp;$T30)),0))</f>
        <v>8</v>
      </c>
      <c r="Q30" s="42" cm="1">
        <f t="array" aca="1" ref="Q30" ca="1">IF(ISBLANK($C30),"",IF(($C30=(INDIRECT(Q$2&amp;"!E"&amp;$T30))),(INDIRECT(Q$2&amp;"!F"&amp;$T30)),0))</f>
        <v>0</v>
      </c>
      <c r="R30" s="42" cm="1">
        <f t="array" aca="1" ref="R30" ca="1">IF(ISBLANK($C30),"",IF(($C30=(INDIRECT(R$2&amp;"!E"&amp;$T30))),(INDIRECT(R$2&amp;"!F"&amp;$T30)),0))</f>
        <v>40</v>
      </c>
      <c r="S30" s="43" cm="1">
        <f t="array" aca="1" ref="S30" ca="1">IF(ISBLANK($C30),"",IF(($C30=(INDIRECT(S$2&amp;"!E"&amp;$T30))),(INDIRECT(S$2&amp;"!F"&amp;$T30)),0))</f>
        <v>38</v>
      </c>
      <c r="T30" s="50">
        <f t="shared" si="8"/>
        <v>29</v>
      </c>
      <c r="U30" s="78">
        <f t="shared" ca="1" si="2"/>
        <v>13</v>
      </c>
      <c r="V30" s="80">
        <f t="shared" ca="1" si="3"/>
        <v>33.92307692307692</v>
      </c>
      <c r="W30" s="79" t="s">
        <v>83</v>
      </c>
      <c r="X30" s="86">
        <f t="shared" ca="1" si="4"/>
        <v>2</v>
      </c>
      <c r="Y30" s="87">
        <f t="shared" ca="1" si="5"/>
        <v>19.5</v>
      </c>
      <c r="Z30" s="79" t="s">
        <v>83</v>
      </c>
      <c r="AA30" t="str" cm="1">
        <f t="array" aca="1" ref="AA30" ca="1">IF(ISBLANK($C30),"",IF(E30=0,INDIRECT(E$2&amp;"!F"&amp;$T30),""))</f>
        <v/>
      </c>
      <c r="AB30" t="str" cm="1">
        <f t="array" aca="1" ref="AB30" ca="1">IF(ISBLANK($C30),"",IF(F30=0,INDIRECT(F$2&amp;"!F"&amp;$T30),""))</f>
        <v/>
      </c>
      <c r="AC30" t="str" cm="1">
        <f t="array" aca="1" ref="AC30" ca="1">IF(ISBLANK($C30),"",IF(G30=0,INDIRECT(G$2&amp;"!F"&amp;$T30),""))</f>
        <v/>
      </c>
      <c r="AD30" t="str" cm="1">
        <f t="array" aca="1" ref="AD30" ca="1">IF(ISBLANK($C30),"",IF(H30=0,INDIRECT(H$2&amp;"!F"&amp;$T30),""))</f>
        <v/>
      </c>
      <c r="AE30" t="str" cm="1">
        <f t="array" aca="1" ref="AE30" ca="1">IF(ISBLANK($C30),"",IF(I30=0,INDIRECT(I$2&amp;"!F"&amp;$T30),""))</f>
        <v/>
      </c>
      <c r="AF30" t="str" cm="1">
        <f t="array" aca="1" ref="AF30" ca="1">IF(ISBLANK($C30),"",IF(J30=0,INDIRECT(J$2&amp;"!F"&amp;$T30),""))</f>
        <v/>
      </c>
      <c r="AG30" t="str" cm="1">
        <f t="array" aca="1" ref="AG30" ca="1">IF(ISBLANK($C30),"",IF(K30=0,INDIRECT(K$2&amp;"!F"&amp;$T30),""))</f>
        <v/>
      </c>
      <c r="AH30" t="str" cm="1">
        <f t="array" aca="1" ref="AH30" ca="1">IF(ISBLANK($C30),"",IF(L30=0,INDIRECT(L$2&amp;"!F"&amp;$T30),""))</f>
        <v/>
      </c>
      <c r="AI30" t="str" cm="1">
        <f t="array" aca="1" ref="AI30" ca="1">IF(ISBLANK($C30),"",IF(M30=0,INDIRECT(M$2&amp;"!F"&amp;$T30),""))</f>
        <v/>
      </c>
      <c r="AJ30" t="str" cm="1">
        <f t="array" aca="1" ref="AJ30" ca="1">IF(ISBLANK($C30),"",IF(N30=0,INDIRECT(N$2&amp;"!F"&amp;$T30),""))</f>
        <v/>
      </c>
      <c r="AK30" cm="1">
        <f t="array" aca="1" ref="AK30" ca="1">IF(ISBLANK($C30),"",IF(O30=0,INDIRECT(O$2&amp;"!F"&amp;$T30),""))</f>
        <v>9</v>
      </c>
      <c r="AL30" t="str" cm="1">
        <f t="array" aca="1" ref="AL30" ca="1">IF(ISBLANK($C30),"",IF(P30=0,INDIRECT(P$2&amp;"!F"&amp;$T30),""))</f>
        <v/>
      </c>
      <c r="AM30" cm="1">
        <f t="array" aca="1" ref="AM30" ca="1">IF(ISBLANK($C30),"",IF(Q30=0,INDIRECT(Q$2&amp;"!F"&amp;$T30),""))</f>
        <v>30</v>
      </c>
      <c r="AN30" t="str" cm="1">
        <f t="array" aca="1" ref="AN30" ca="1">IF(ISBLANK($C30),"",IF(R30=0,INDIRECT(R$2&amp;"!F"&amp;$T30),""))</f>
        <v/>
      </c>
      <c r="AO30" t="str" cm="1">
        <f t="array" aca="1" ref="AO30" ca="1">IF(ISBLANK($C30),"",IF(S30=0,INDIRECT(S$2&amp;"!F"&amp;$T30),""))</f>
        <v/>
      </c>
      <c r="AP30">
        <f t="shared" ca="1" si="6"/>
        <v>2</v>
      </c>
      <c r="AQ30">
        <f t="shared" ca="1" si="7"/>
        <v>15</v>
      </c>
    </row>
    <row r="31" spans="1:43" ht="15.5" x14ac:dyDescent="0.35">
      <c r="A31" s="28">
        <v>43830</v>
      </c>
      <c r="B31" s="29" t="s">
        <v>86</v>
      </c>
      <c r="C31" s="29" t="s">
        <v>87</v>
      </c>
      <c r="D31" s="39"/>
      <c r="E31" s="41" cm="1">
        <f t="array" aca="1" ref="E31" ca="1">IF(ISBLANK($C31),"",IF(($C31=(INDIRECT(E$2&amp;"!E"&amp;$T31))),(INDIRECT(E$2&amp;"!F"&amp;$T31)),0))</f>
        <v>0</v>
      </c>
      <c r="F31" s="42" cm="1">
        <f t="array" aca="1" ref="F31" ca="1">IF(ISBLANK($C31),"",IF(($C31=(INDIRECT(F$2&amp;"!E"&amp;$T31))),(INDIRECT(F$2&amp;"!F"&amp;$T31)),0))</f>
        <v>0</v>
      </c>
      <c r="G31" s="42" cm="1">
        <f t="array" aca="1" ref="G31" ca="1">IF(ISBLANK($C31),"",IF(($C31=(INDIRECT(G$2&amp;"!E"&amp;$T31))),(INDIRECT(G$2&amp;"!F"&amp;$T31)),0))</f>
        <v>0</v>
      </c>
      <c r="H31" s="42" cm="1">
        <f t="array" aca="1" ref="H31" ca="1">IF(ISBLANK($C31),"",IF(($C31=(INDIRECT(H$2&amp;"!E"&amp;$T31))),(INDIRECT(H$2&amp;"!F"&amp;$T31)),0))</f>
        <v>0</v>
      </c>
      <c r="I31" s="42" cm="1">
        <f t="array" aca="1" ref="I31" ca="1">IF(ISBLANK($C31),"",IF(($C31=(INDIRECT(I$2&amp;"!E"&amp;$T31))),(INDIRECT(I$2&amp;"!F"&amp;$T31)),0))</f>
        <v>20</v>
      </c>
      <c r="J31" s="42" cm="1">
        <f t="array" aca="1" ref="J31" ca="1">IF(ISBLANK($C31),"",IF(($C31=(INDIRECT(J$2&amp;"!E"&amp;$T31))),(INDIRECT(J$2&amp;"!F"&amp;$T31)),0))</f>
        <v>0</v>
      </c>
      <c r="K31" s="42" cm="1">
        <f t="array" aca="1" ref="K31" ca="1">IF(ISBLANK($C31),"",IF(($C31=(INDIRECT(K$2&amp;"!E"&amp;$T31))),(INDIRECT(K$2&amp;"!F"&amp;$T31)),0))</f>
        <v>21</v>
      </c>
      <c r="L31" s="42" cm="1">
        <f t="array" aca="1" ref="L31" ca="1">IF(ISBLANK($C31),"",IF(($C31=(INDIRECT(L$2&amp;"!E"&amp;$T31))),(INDIRECT(L$2&amp;"!F"&amp;$T31)),0))</f>
        <v>0</v>
      </c>
      <c r="M31" s="42" cm="1">
        <f t="array" aca="1" ref="M31" ca="1">IF(ISBLANK($C31),"",IF(($C31=(INDIRECT(M$2&amp;"!E"&amp;$T31))),(INDIRECT(M$2&amp;"!F"&amp;$T31)),0))</f>
        <v>0</v>
      </c>
      <c r="N31" s="42" cm="1">
        <f t="array" aca="1" ref="N31" ca="1">IF(ISBLANK($C31),"",IF(($C31=(INDIRECT(N$2&amp;"!E"&amp;$T31))),(INDIRECT(N$2&amp;"!F"&amp;$T31)),0))</f>
        <v>0</v>
      </c>
      <c r="O31" s="42" cm="1">
        <f t="array" aca="1" ref="O31" ca="1">IF(ISBLANK($C31),"",IF(($C31=(INDIRECT(O$2&amp;"!E"&amp;$T31))),(INDIRECT(O$2&amp;"!F"&amp;$T31)),0))</f>
        <v>0</v>
      </c>
      <c r="P31" s="42" cm="1">
        <f t="array" aca="1" ref="P31" ca="1">IF(ISBLANK($C31),"",IF(($C31=(INDIRECT(P$2&amp;"!E"&amp;$T31))),(INDIRECT(P$2&amp;"!F"&amp;$T31)),0))</f>
        <v>0</v>
      </c>
      <c r="Q31" s="42" cm="1">
        <f t="array" aca="1" ref="Q31" ca="1">IF(ISBLANK($C31),"",IF(($C31=(INDIRECT(Q$2&amp;"!E"&amp;$T31))),(INDIRECT(Q$2&amp;"!F"&amp;$T31)),0))</f>
        <v>19</v>
      </c>
      <c r="R31" s="42" cm="1">
        <f t="array" aca="1" ref="R31" ca="1">IF(ISBLANK($C31),"",IF(($C31=(INDIRECT(R$2&amp;"!E"&amp;$T31))),(INDIRECT(R$2&amp;"!F"&amp;$T31)),0))</f>
        <v>0</v>
      </c>
      <c r="S31" s="43" cm="1">
        <f t="array" aca="1" ref="S31" ca="1">IF(ISBLANK($C31),"",IF(($C31=(INDIRECT(S$2&amp;"!E"&amp;$T31))),(INDIRECT(S$2&amp;"!F"&amp;$T31)),0))</f>
        <v>0</v>
      </c>
      <c r="T31" s="50">
        <f t="shared" si="8"/>
        <v>30</v>
      </c>
      <c r="U31" s="78">
        <f t="shared" ca="1" si="2"/>
        <v>3</v>
      </c>
      <c r="V31" s="80">
        <f t="shared" ca="1" si="3"/>
        <v>20</v>
      </c>
      <c r="W31" s="79" t="s">
        <v>86</v>
      </c>
      <c r="X31" s="86">
        <f t="shared" ca="1" si="4"/>
        <v>12</v>
      </c>
      <c r="Y31" s="87">
        <f t="shared" ca="1" si="5"/>
        <v>18.416666666666668</v>
      </c>
      <c r="Z31" s="79" t="s">
        <v>86</v>
      </c>
      <c r="AA31" cm="1">
        <f t="array" aca="1" ref="AA31" ca="1">IF(ISBLANK($C31),"",IF(E31=0,INDIRECT(E$2&amp;"!F"&amp;$T31),""))</f>
        <v>23</v>
      </c>
      <c r="AB31" cm="1">
        <f t="array" aca="1" ref="AB31" ca="1">IF(ISBLANK($C31),"",IF(F31=0,INDIRECT(F$2&amp;"!F"&amp;$T31),""))</f>
        <v>9</v>
      </c>
      <c r="AC31" cm="1">
        <f t="array" aca="1" ref="AC31" ca="1">IF(ISBLANK($C31),"",IF(G31=0,INDIRECT(G$2&amp;"!F"&amp;$T31),""))</f>
        <v>12</v>
      </c>
      <c r="AD31" cm="1">
        <f t="array" aca="1" ref="AD31" ca="1">IF(ISBLANK($C31),"",IF(H31=0,INDIRECT(H$2&amp;"!F"&amp;$T31),""))</f>
        <v>17</v>
      </c>
      <c r="AE31" t="str" cm="1">
        <f t="array" aca="1" ref="AE31" ca="1">IF(ISBLANK($C31),"",IF(I31=0,INDIRECT(I$2&amp;"!F"&amp;$T31),""))</f>
        <v/>
      </c>
      <c r="AF31" cm="1">
        <f t="array" aca="1" ref="AF31" ca="1">IF(ISBLANK($C31),"",IF(J31=0,INDIRECT(J$2&amp;"!F"&amp;$T31),""))</f>
        <v>36</v>
      </c>
      <c r="AG31" t="str" cm="1">
        <f t="array" aca="1" ref="AG31" ca="1">IF(ISBLANK($C31),"",IF(K31=0,INDIRECT(K$2&amp;"!F"&amp;$T31),""))</f>
        <v/>
      </c>
      <c r="AH31" cm="1">
        <f t="array" aca="1" ref="AH31" ca="1">IF(ISBLANK($C31),"",IF(L31=0,INDIRECT(L$2&amp;"!F"&amp;$T31),""))</f>
        <v>27</v>
      </c>
      <c r="AI31" cm="1">
        <f t="array" aca="1" ref="AI31" ca="1">IF(ISBLANK($C31),"",IF(M31=0,INDIRECT(M$2&amp;"!F"&amp;$T31),""))</f>
        <v>11</v>
      </c>
      <c r="AJ31" cm="1">
        <f t="array" aca="1" ref="AJ31" ca="1">IF(ISBLANK($C31),"",IF(N31=0,INDIRECT(N$2&amp;"!F"&amp;$T31),""))</f>
        <v>18</v>
      </c>
      <c r="AK31" cm="1">
        <f t="array" aca="1" ref="AK31" ca="1">IF(ISBLANK($C31),"",IF(O31=0,INDIRECT(O$2&amp;"!F"&amp;$T31),""))</f>
        <v>10</v>
      </c>
      <c r="AL31" cm="1">
        <f t="array" aca="1" ref="AL31" ca="1">IF(ISBLANK($C31),"",IF(P31=0,INDIRECT(P$2&amp;"!F"&amp;$T31),""))</f>
        <v>10</v>
      </c>
      <c r="AM31" t="str" cm="1">
        <f t="array" aca="1" ref="AM31" ca="1">IF(ISBLANK($C31),"",IF(Q31=0,INDIRECT(Q$2&amp;"!F"&amp;$T31),""))</f>
        <v/>
      </c>
      <c r="AN31" cm="1">
        <f t="array" aca="1" ref="AN31" ca="1">IF(ISBLANK($C31),"",IF(R31=0,INDIRECT(R$2&amp;"!F"&amp;$T31),""))</f>
        <v>18</v>
      </c>
      <c r="AO31" cm="1">
        <f t="array" aca="1" ref="AO31" ca="1">IF(ISBLANK($C31),"",IF(S31=0,INDIRECT(S$2&amp;"!F"&amp;$T31),""))</f>
        <v>30</v>
      </c>
      <c r="AP31">
        <f t="shared" ca="1" si="6"/>
        <v>12</v>
      </c>
      <c r="AQ31">
        <f t="shared" ca="1" si="7"/>
        <v>15</v>
      </c>
    </row>
    <row r="32" spans="1:43" ht="15.5" x14ac:dyDescent="0.35">
      <c r="A32" s="28">
        <v>43830</v>
      </c>
      <c r="B32" s="29" t="s">
        <v>89</v>
      </c>
      <c r="C32" s="29" t="s">
        <v>91</v>
      </c>
      <c r="D32" s="39"/>
      <c r="E32" s="41" cm="1">
        <f t="array" aca="1" ref="E32" ca="1">IF(ISBLANK($C32),"",IF(($C32=(INDIRECT(E$2&amp;"!E"&amp;$T32))),(INDIRECT(E$2&amp;"!F"&amp;$T32)),0))</f>
        <v>18</v>
      </c>
      <c r="F32" s="42" cm="1">
        <f t="array" aca="1" ref="F32" ca="1">IF(ISBLANK($C32),"",IF(($C32=(INDIRECT(F$2&amp;"!E"&amp;$T32))),(INDIRECT(F$2&amp;"!F"&amp;$T32)),0))</f>
        <v>8</v>
      </c>
      <c r="G32" s="42" cm="1">
        <f t="array" aca="1" ref="G32" ca="1">IF(ISBLANK($C32),"",IF(($C32=(INDIRECT(G$2&amp;"!E"&amp;$T32))),(INDIRECT(G$2&amp;"!F"&amp;$T32)),0))</f>
        <v>0</v>
      </c>
      <c r="H32" s="42" cm="1">
        <f t="array" aca="1" ref="H32" ca="1">IF(ISBLANK($C32),"",IF(($C32=(INDIRECT(H$2&amp;"!E"&amp;$T32))),(INDIRECT(H$2&amp;"!F"&amp;$T32)),0))</f>
        <v>21</v>
      </c>
      <c r="I32" s="42" cm="1">
        <f t="array" aca="1" ref="I32" ca="1">IF(ISBLANK($C32),"",IF(($C32=(INDIRECT(I$2&amp;"!E"&amp;$T32))),(INDIRECT(I$2&amp;"!F"&amp;$T32)),0))</f>
        <v>28</v>
      </c>
      <c r="J32" s="42" cm="1">
        <f t="array" aca="1" ref="J32" ca="1">IF(ISBLANK($C32),"",IF(($C32=(INDIRECT(J$2&amp;"!E"&amp;$T32))),(INDIRECT(J$2&amp;"!F"&amp;$T32)),0))</f>
        <v>35</v>
      </c>
      <c r="K32" s="42" cm="1">
        <f t="array" aca="1" ref="K32" ca="1">IF(ISBLANK($C32),"",IF(($C32=(INDIRECT(K$2&amp;"!E"&amp;$T32))),(INDIRECT(K$2&amp;"!F"&amp;$T32)),0))</f>
        <v>17</v>
      </c>
      <c r="L32" s="42" cm="1">
        <f t="array" aca="1" ref="L32" ca="1">IF(ISBLANK($C32),"",IF(($C32=(INDIRECT(L$2&amp;"!E"&amp;$T32))),(INDIRECT(L$2&amp;"!F"&amp;$T32)),0))</f>
        <v>33</v>
      </c>
      <c r="M32" s="42" cm="1">
        <f t="array" aca="1" ref="M32" ca="1">IF(ISBLANK($C32),"",IF(($C32=(INDIRECT(M$2&amp;"!E"&amp;$T32))),(INDIRECT(M$2&amp;"!F"&amp;$T32)),0))</f>
        <v>29</v>
      </c>
      <c r="N32" s="42" cm="1">
        <f t="array" aca="1" ref="N32" ca="1">IF(ISBLANK($C32),"",IF(($C32=(INDIRECT(N$2&amp;"!E"&amp;$T32))),(INDIRECT(N$2&amp;"!F"&amp;$T32)),0))</f>
        <v>19</v>
      </c>
      <c r="O32" s="42" cm="1">
        <f t="array" aca="1" ref="O32" ca="1">IF(ISBLANK($C32),"",IF(($C32=(INDIRECT(O$2&amp;"!E"&amp;$T32))),(INDIRECT(O$2&amp;"!F"&amp;$T32)),0))</f>
        <v>24</v>
      </c>
      <c r="P32" s="42" cm="1">
        <f t="array" aca="1" ref="P32" ca="1">IF(ISBLANK($C32),"",IF(($C32=(INDIRECT(P$2&amp;"!E"&amp;$T32))),(INDIRECT(P$2&amp;"!F"&amp;$T32)),0))</f>
        <v>9</v>
      </c>
      <c r="Q32" s="42" cm="1">
        <f t="array" aca="1" ref="Q32" ca="1">IF(ISBLANK($C32),"",IF(($C32=(INDIRECT(Q$2&amp;"!E"&amp;$T32))),(INDIRECT(Q$2&amp;"!F"&amp;$T32)),0))</f>
        <v>0</v>
      </c>
      <c r="R32" s="42" cm="1">
        <f t="array" aca="1" ref="R32" ca="1">IF(ISBLANK($C32),"",IF(($C32=(INDIRECT(R$2&amp;"!E"&amp;$T32))),(INDIRECT(R$2&amp;"!F"&amp;$T32)),0))</f>
        <v>28</v>
      </c>
      <c r="S32" s="43" cm="1">
        <f t="array" aca="1" ref="S32" ca="1">IF(ISBLANK($C32),"",IF(($C32=(INDIRECT(S$2&amp;"!E"&amp;$T32))),(INDIRECT(S$2&amp;"!F"&amp;$T32)),0))</f>
        <v>29</v>
      </c>
      <c r="T32" s="50">
        <f t="shared" si="8"/>
        <v>31</v>
      </c>
      <c r="U32" s="78">
        <f t="shared" ca="1" si="2"/>
        <v>13</v>
      </c>
      <c r="V32" s="80">
        <f t="shared" ca="1" si="3"/>
        <v>22.923076923076923</v>
      </c>
      <c r="W32" s="79" t="s">
        <v>89</v>
      </c>
      <c r="X32" s="86">
        <f t="shared" ca="1" si="4"/>
        <v>2</v>
      </c>
      <c r="Y32" s="87">
        <f t="shared" ca="1" si="5"/>
        <v>20.5</v>
      </c>
      <c r="Z32" s="79" t="s">
        <v>89</v>
      </c>
      <c r="AA32" t="str" cm="1">
        <f t="array" aca="1" ref="AA32" ca="1">IF(ISBLANK($C32),"",IF(E32=0,INDIRECT(E$2&amp;"!F"&amp;$T32),""))</f>
        <v/>
      </c>
      <c r="AB32" t="str" cm="1">
        <f t="array" aca="1" ref="AB32" ca="1">IF(ISBLANK($C32),"",IF(F32=0,INDIRECT(F$2&amp;"!F"&amp;$T32),""))</f>
        <v/>
      </c>
      <c r="AC32" cm="1">
        <f t="array" aca="1" ref="AC32" ca="1">IF(ISBLANK($C32),"",IF(G32=0,INDIRECT(G$2&amp;"!F"&amp;$T32),""))</f>
        <v>13</v>
      </c>
      <c r="AD32" t="str" cm="1">
        <f t="array" aca="1" ref="AD32" ca="1">IF(ISBLANK($C32),"",IF(H32=0,INDIRECT(H$2&amp;"!F"&amp;$T32),""))</f>
        <v/>
      </c>
      <c r="AE32" t="str" cm="1">
        <f t="array" aca="1" ref="AE32" ca="1">IF(ISBLANK($C32),"",IF(I32=0,INDIRECT(I$2&amp;"!F"&amp;$T32),""))</f>
        <v/>
      </c>
      <c r="AF32" t="str" cm="1">
        <f t="array" aca="1" ref="AF32" ca="1">IF(ISBLANK($C32),"",IF(J32=0,INDIRECT(J$2&amp;"!F"&amp;$T32),""))</f>
        <v/>
      </c>
      <c r="AG32" t="str" cm="1">
        <f t="array" aca="1" ref="AG32" ca="1">IF(ISBLANK($C32),"",IF(K32=0,INDIRECT(K$2&amp;"!F"&amp;$T32),""))</f>
        <v/>
      </c>
      <c r="AH32" t="str" cm="1">
        <f t="array" aca="1" ref="AH32" ca="1">IF(ISBLANK($C32),"",IF(L32=0,INDIRECT(L$2&amp;"!F"&amp;$T32),""))</f>
        <v/>
      </c>
      <c r="AI32" t="str" cm="1">
        <f t="array" aca="1" ref="AI32" ca="1">IF(ISBLANK($C32),"",IF(M32=0,INDIRECT(M$2&amp;"!F"&amp;$T32),""))</f>
        <v/>
      </c>
      <c r="AJ32" t="str" cm="1">
        <f t="array" aca="1" ref="AJ32" ca="1">IF(ISBLANK($C32),"",IF(N32=0,INDIRECT(N$2&amp;"!F"&amp;$T32),""))</f>
        <v/>
      </c>
      <c r="AK32" t="str" cm="1">
        <f t="array" aca="1" ref="AK32" ca="1">IF(ISBLANK($C32),"",IF(O32=0,INDIRECT(O$2&amp;"!F"&amp;$T32),""))</f>
        <v/>
      </c>
      <c r="AL32" t="str" cm="1">
        <f t="array" aca="1" ref="AL32" ca="1">IF(ISBLANK($C32),"",IF(P32=0,INDIRECT(P$2&amp;"!F"&amp;$T32),""))</f>
        <v/>
      </c>
      <c r="AM32" cm="1">
        <f t="array" aca="1" ref="AM32" ca="1">IF(ISBLANK($C32),"",IF(Q32=0,INDIRECT(Q$2&amp;"!F"&amp;$T32),""))</f>
        <v>28</v>
      </c>
      <c r="AN32" t="str" cm="1">
        <f t="array" aca="1" ref="AN32" ca="1">IF(ISBLANK($C32),"",IF(R32=0,INDIRECT(R$2&amp;"!F"&amp;$T32),""))</f>
        <v/>
      </c>
      <c r="AO32" t="str" cm="1">
        <f t="array" aca="1" ref="AO32" ca="1">IF(ISBLANK($C32),"",IF(S32=0,INDIRECT(S$2&amp;"!F"&amp;$T32),""))</f>
        <v/>
      </c>
      <c r="AP32">
        <f t="shared" ca="1" si="6"/>
        <v>2</v>
      </c>
      <c r="AQ32">
        <f t="shared" ca="1" si="7"/>
        <v>15</v>
      </c>
    </row>
    <row r="33" spans="1:43" ht="15.5" x14ac:dyDescent="0.35">
      <c r="A33" s="28">
        <v>43830</v>
      </c>
      <c r="B33" s="29" t="s">
        <v>92</v>
      </c>
      <c r="C33" s="29" t="s">
        <v>93</v>
      </c>
      <c r="D33" s="39"/>
      <c r="E33" s="41" cm="1">
        <f t="array" aca="1" ref="E33" ca="1">IF(ISBLANK($C33),"",IF(($C33=(INDIRECT(E$2&amp;"!E"&amp;$T33))),(INDIRECT(E$2&amp;"!F"&amp;$T33)),0))</f>
        <v>0</v>
      </c>
      <c r="F33" s="42" cm="1">
        <f t="array" aca="1" ref="F33" ca="1">IF(ISBLANK($C33),"",IF(($C33=(INDIRECT(F$2&amp;"!E"&amp;$T33))),(INDIRECT(F$2&amp;"!F"&amp;$T33)),0))</f>
        <v>0</v>
      </c>
      <c r="G33" s="42" cm="1">
        <f t="array" aca="1" ref="G33" ca="1">IF(ISBLANK($C33),"",IF(($C33=(INDIRECT(G$2&amp;"!E"&amp;$T33))),(INDIRECT(G$2&amp;"!F"&amp;$T33)),0))</f>
        <v>28</v>
      </c>
      <c r="H33" s="42" cm="1">
        <f t="array" aca="1" ref="H33" ca="1">IF(ISBLANK($C33),"",IF(($C33=(INDIRECT(H$2&amp;"!E"&amp;$T33))),(INDIRECT(H$2&amp;"!F"&amp;$T33)),0))</f>
        <v>9</v>
      </c>
      <c r="I33" s="42" cm="1">
        <f t="array" aca="1" ref="I33" ca="1">IF(ISBLANK($C33),"",IF(($C33=(INDIRECT(I$2&amp;"!E"&amp;$T33))),(INDIRECT(I$2&amp;"!F"&amp;$T33)),0))</f>
        <v>26</v>
      </c>
      <c r="J33" s="42" cm="1">
        <f t="array" aca="1" ref="J33" ca="1">IF(ISBLANK($C33),"",IF(($C33=(INDIRECT(J$2&amp;"!E"&amp;$T33))),(INDIRECT(J$2&amp;"!F"&amp;$T33)),0))</f>
        <v>9</v>
      </c>
      <c r="K33" s="42" cm="1">
        <f t="array" aca="1" ref="K33" ca="1">IF(ISBLANK($C33),"",IF(($C33=(INDIRECT(K$2&amp;"!E"&amp;$T33))),(INDIRECT(K$2&amp;"!F"&amp;$T33)),0))</f>
        <v>23</v>
      </c>
      <c r="L33" s="42" cm="1">
        <f t="array" aca="1" ref="L33" ca="1">IF(ISBLANK($C33),"",IF(($C33=(INDIRECT(L$2&amp;"!E"&amp;$T33))),(INDIRECT(L$2&amp;"!F"&amp;$T33)),0))</f>
        <v>16</v>
      </c>
      <c r="M33" s="42" cm="1">
        <f t="array" aca="1" ref="M33" ca="1">IF(ISBLANK($C33),"",IF(($C33=(INDIRECT(M$2&amp;"!E"&amp;$T33))),(INDIRECT(M$2&amp;"!F"&amp;$T33)),0))</f>
        <v>18</v>
      </c>
      <c r="N33" s="42" cm="1">
        <f t="array" aca="1" ref="N33" ca="1">IF(ISBLANK($C33),"",IF(($C33=(INDIRECT(N$2&amp;"!E"&amp;$T33))),(INDIRECT(N$2&amp;"!F"&amp;$T33)),0))</f>
        <v>21</v>
      </c>
      <c r="O33" s="42" cm="1">
        <f t="array" aca="1" ref="O33" ca="1">IF(ISBLANK($C33),"",IF(($C33=(INDIRECT(O$2&amp;"!E"&amp;$T33))),(INDIRECT(O$2&amp;"!F"&amp;$T33)),0))</f>
        <v>11</v>
      </c>
      <c r="P33" s="42" cm="1">
        <f t="array" aca="1" ref="P33" ca="1">IF(ISBLANK($C33),"",IF(($C33=(INDIRECT(P$2&amp;"!E"&amp;$T33))),(INDIRECT(P$2&amp;"!F"&amp;$T33)),0))</f>
        <v>21</v>
      </c>
      <c r="Q33" s="42" cm="1">
        <f t="array" aca="1" ref="Q33" ca="1">IF(ISBLANK($C33),"",IF(($C33=(INDIRECT(Q$2&amp;"!E"&amp;$T33))),(INDIRECT(Q$2&amp;"!F"&amp;$T33)),0))</f>
        <v>35</v>
      </c>
      <c r="R33" s="42" cm="1">
        <f t="array" aca="1" ref="R33" ca="1">IF(ISBLANK($C33),"",IF(($C33=(INDIRECT(R$2&amp;"!E"&amp;$T33))),(INDIRECT(R$2&amp;"!F"&amp;$T33)),0))</f>
        <v>27</v>
      </c>
      <c r="S33" s="43" cm="1">
        <f t="array" aca="1" ref="S33" ca="1">IF(ISBLANK($C33),"",IF(($C33=(INDIRECT(S$2&amp;"!E"&amp;$T33))),(INDIRECT(S$2&amp;"!F"&amp;$T33)),0))</f>
        <v>7</v>
      </c>
      <c r="T33" s="50">
        <f t="shared" si="8"/>
        <v>32</v>
      </c>
      <c r="U33" s="78">
        <f t="shared" ca="1" si="2"/>
        <v>13</v>
      </c>
      <c r="V33" s="80">
        <f t="shared" ca="1" si="3"/>
        <v>19.307692307692307</v>
      </c>
      <c r="W33" s="79" t="s">
        <v>92</v>
      </c>
      <c r="X33" s="86">
        <f t="shared" ca="1" si="4"/>
        <v>2</v>
      </c>
      <c r="Y33" s="87">
        <f t="shared" ca="1" si="5"/>
        <v>15</v>
      </c>
      <c r="Z33" s="79" t="s">
        <v>92</v>
      </c>
      <c r="AA33" cm="1">
        <f t="array" aca="1" ref="AA33" ca="1">IF(ISBLANK($C33),"",IF(E33=0,INDIRECT(E$2&amp;"!F"&amp;$T33),""))</f>
        <v>29</v>
      </c>
      <c r="AB33" cm="1">
        <f t="array" aca="1" ref="AB33" ca="1">IF(ISBLANK($C33),"",IF(F33=0,INDIRECT(F$2&amp;"!F"&amp;$T33),""))</f>
        <v>1</v>
      </c>
      <c r="AC33" t="str" cm="1">
        <f t="array" aca="1" ref="AC33" ca="1">IF(ISBLANK($C33),"",IF(G33=0,INDIRECT(G$2&amp;"!F"&amp;$T33),""))</f>
        <v/>
      </c>
      <c r="AD33" t="str" cm="1">
        <f t="array" aca="1" ref="AD33" ca="1">IF(ISBLANK($C33),"",IF(H33=0,INDIRECT(H$2&amp;"!F"&amp;$T33),""))</f>
        <v/>
      </c>
      <c r="AE33" t="str" cm="1">
        <f t="array" aca="1" ref="AE33" ca="1">IF(ISBLANK($C33),"",IF(I33=0,INDIRECT(I$2&amp;"!F"&amp;$T33),""))</f>
        <v/>
      </c>
      <c r="AF33" t="str" cm="1">
        <f t="array" aca="1" ref="AF33" ca="1">IF(ISBLANK($C33),"",IF(J33=0,INDIRECT(J$2&amp;"!F"&amp;$T33),""))</f>
        <v/>
      </c>
      <c r="AG33" t="str" cm="1">
        <f t="array" aca="1" ref="AG33" ca="1">IF(ISBLANK($C33),"",IF(K33=0,INDIRECT(K$2&amp;"!F"&amp;$T33),""))</f>
        <v/>
      </c>
      <c r="AH33" t="str" cm="1">
        <f t="array" aca="1" ref="AH33" ca="1">IF(ISBLANK($C33),"",IF(L33=0,INDIRECT(L$2&amp;"!F"&amp;$T33),""))</f>
        <v/>
      </c>
      <c r="AI33" t="str" cm="1">
        <f t="array" aca="1" ref="AI33" ca="1">IF(ISBLANK($C33),"",IF(M33=0,INDIRECT(M$2&amp;"!F"&amp;$T33),""))</f>
        <v/>
      </c>
      <c r="AJ33" t="str" cm="1">
        <f t="array" aca="1" ref="AJ33" ca="1">IF(ISBLANK($C33),"",IF(N33=0,INDIRECT(N$2&amp;"!F"&amp;$T33),""))</f>
        <v/>
      </c>
      <c r="AK33" t="str" cm="1">
        <f t="array" aca="1" ref="AK33" ca="1">IF(ISBLANK($C33),"",IF(O33=0,INDIRECT(O$2&amp;"!F"&amp;$T33),""))</f>
        <v/>
      </c>
      <c r="AL33" t="str" cm="1">
        <f t="array" aca="1" ref="AL33" ca="1">IF(ISBLANK($C33),"",IF(P33=0,INDIRECT(P$2&amp;"!F"&amp;$T33),""))</f>
        <v/>
      </c>
      <c r="AM33" t="str" cm="1">
        <f t="array" aca="1" ref="AM33" ca="1">IF(ISBLANK($C33),"",IF(Q33=0,INDIRECT(Q$2&amp;"!F"&amp;$T33),""))</f>
        <v/>
      </c>
      <c r="AN33" t="str" cm="1">
        <f t="array" aca="1" ref="AN33" ca="1">IF(ISBLANK($C33),"",IF(R33=0,INDIRECT(R$2&amp;"!F"&amp;$T33),""))</f>
        <v/>
      </c>
      <c r="AO33" t="str" cm="1">
        <f t="array" aca="1" ref="AO33" ca="1">IF(ISBLANK($C33),"",IF(S33=0,INDIRECT(S$2&amp;"!F"&amp;$T33),""))</f>
        <v/>
      </c>
      <c r="AP33">
        <f t="shared" ca="1" si="6"/>
        <v>2</v>
      </c>
      <c r="AQ33">
        <f t="shared" ca="1" si="7"/>
        <v>15</v>
      </c>
    </row>
    <row r="34" spans="1:43" ht="15.5" x14ac:dyDescent="0.35">
      <c r="A34" s="28">
        <v>43830</v>
      </c>
      <c r="B34" s="29" t="s">
        <v>95</v>
      </c>
      <c r="C34" s="29" t="s">
        <v>97</v>
      </c>
      <c r="D34" s="39"/>
      <c r="E34" s="41" cm="1">
        <f t="array" aca="1" ref="E34" ca="1">IF(ISBLANK($C34),"",IF(($C34=(INDIRECT(E$2&amp;"!E"&amp;$T34))),(INDIRECT(E$2&amp;"!F"&amp;$T34)),0))</f>
        <v>30</v>
      </c>
      <c r="F34" s="42" cm="1">
        <f t="array" aca="1" ref="F34" ca="1">IF(ISBLANK($C34),"",IF(($C34=(INDIRECT(F$2&amp;"!E"&amp;$T34))),(INDIRECT(F$2&amp;"!F"&amp;$T34)),0))</f>
        <v>31</v>
      </c>
      <c r="G34" s="42" cm="1">
        <f t="array" aca="1" ref="G34" ca="1">IF(ISBLANK($C34),"",IF(($C34=(INDIRECT(G$2&amp;"!E"&amp;$T34))),(INDIRECT(G$2&amp;"!F"&amp;$T34)),0))</f>
        <v>0</v>
      </c>
      <c r="H34" s="42" cm="1">
        <f t="array" aca="1" ref="H34" ca="1">IF(ISBLANK($C34),"",IF(($C34=(INDIRECT(H$2&amp;"!E"&amp;$T34))),(INDIRECT(H$2&amp;"!F"&amp;$T34)),0))</f>
        <v>24</v>
      </c>
      <c r="I34" s="42" cm="1">
        <f t="array" aca="1" ref="I34" ca="1">IF(ISBLANK($C34),"",IF(($C34=(INDIRECT(I$2&amp;"!E"&amp;$T34))),(INDIRECT(I$2&amp;"!F"&amp;$T34)),0))</f>
        <v>19</v>
      </c>
      <c r="J34" s="42" cm="1">
        <f t="array" aca="1" ref="J34" ca="1">IF(ISBLANK($C34),"",IF(($C34=(INDIRECT(J$2&amp;"!E"&amp;$T34))),(INDIRECT(J$2&amp;"!F"&amp;$T34)),0))</f>
        <v>15</v>
      </c>
      <c r="K34" s="42" cm="1">
        <f t="array" aca="1" ref="K34" ca="1">IF(ISBLANK($C34),"",IF(($C34=(INDIRECT(K$2&amp;"!E"&amp;$T34))),(INDIRECT(K$2&amp;"!F"&amp;$T34)),0))</f>
        <v>27</v>
      </c>
      <c r="L34" s="42" cm="1">
        <f t="array" aca="1" ref="L34" ca="1">IF(ISBLANK($C34),"",IF(($C34=(INDIRECT(L$2&amp;"!E"&amp;$T34))),(INDIRECT(L$2&amp;"!F"&amp;$T34)),0))</f>
        <v>32</v>
      </c>
      <c r="M34" s="42" cm="1">
        <f t="array" aca="1" ref="M34" ca="1">IF(ISBLANK($C34),"",IF(($C34=(INDIRECT(M$2&amp;"!E"&amp;$T34))),(INDIRECT(M$2&amp;"!F"&amp;$T34)),0))</f>
        <v>0</v>
      </c>
      <c r="N34" s="42" cm="1">
        <f t="array" aca="1" ref="N34" ca="1">IF(ISBLANK($C34),"",IF(($C34=(INDIRECT(N$2&amp;"!E"&amp;$T34))),(INDIRECT(N$2&amp;"!F"&amp;$T34)),0))</f>
        <v>6</v>
      </c>
      <c r="O34" s="42" cm="1">
        <f t="array" aca="1" ref="O34" ca="1">IF(ISBLANK($C34),"",IF(($C34=(INDIRECT(O$2&amp;"!E"&amp;$T34))),(INDIRECT(O$2&amp;"!F"&amp;$T34)),0))</f>
        <v>0</v>
      </c>
      <c r="P34" s="42" cm="1">
        <f t="array" aca="1" ref="P34" ca="1">IF(ISBLANK($C34),"",IF(($C34=(INDIRECT(P$2&amp;"!E"&amp;$T34))),(INDIRECT(P$2&amp;"!F"&amp;$T34)),0))</f>
        <v>11</v>
      </c>
      <c r="Q34" s="42" cm="1">
        <f t="array" aca="1" ref="Q34" ca="1">IF(ISBLANK($C34),"",IF(($C34=(INDIRECT(Q$2&amp;"!E"&amp;$T34))),(INDIRECT(Q$2&amp;"!F"&amp;$T34)),0))</f>
        <v>26</v>
      </c>
      <c r="R34" s="42" cm="1">
        <f t="array" aca="1" ref="R34" ca="1">IF(ISBLANK($C34),"",IF(($C34=(INDIRECT(R$2&amp;"!E"&amp;$T34))),(INDIRECT(R$2&amp;"!F"&amp;$T34)),0))</f>
        <v>26</v>
      </c>
      <c r="S34" s="43" cm="1">
        <f t="array" aca="1" ref="S34" ca="1">IF(ISBLANK($C34),"",IF(($C34=(INDIRECT(S$2&amp;"!E"&amp;$T34))),(INDIRECT(S$2&amp;"!F"&amp;$T34)),0))</f>
        <v>6</v>
      </c>
      <c r="T34" s="50">
        <f t="shared" si="8"/>
        <v>33</v>
      </c>
      <c r="U34" s="78">
        <f t="shared" ca="1" si="2"/>
        <v>12</v>
      </c>
      <c r="V34" s="80">
        <f t="shared" ca="1" si="3"/>
        <v>21.083333333333332</v>
      </c>
      <c r="W34" s="79" t="s">
        <v>95</v>
      </c>
      <c r="X34" s="86">
        <f t="shared" ca="1" si="4"/>
        <v>3</v>
      </c>
      <c r="Y34" s="87">
        <f t="shared" ca="1" si="5"/>
        <v>14.666666666666666</v>
      </c>
      <c r="Z34" s="79" t="s">
        <v>95</v>
      </c>
      <c r="AA34" t="str" cm="1">
        <f t="array" aca="1" ref="AA34" ca="1">IF(ISBLANK($C34),"",IF(E34=0,INDIRECT(E$2&amp;"!F"&amp;$T34),""))</f>
        <v/>
      </c>
      <c r="AB34" t="str" cm="1">
        <f t="array" aca="1" ref="AB34" ca="1">IF(ISBLANK($C34),"",IF(F34=0,INDIRECT(F$2&amp;"!F"&amp;$T34),""))</f>
        <v/>
      </c>
      <c r="AC34" cm="1">
        <f t="array" aca="1" ref="AC34" ca="1">IF(ISBLANK($C34),"",IF(G34=0,INDIRECT(G$2&amp;"!F"&amp;$T34),""))</f>
        <v>11</v>
      </c>
      <c r="AD34" t="str" cm="1">
        <f t="array" aca="1" ref="AD34" ca="1">IF(ISBLANK($C34),"",IF(H34=0,INDIRECT(H$2&amp;"!F"&amp;$T34),""))</f>
        <v/>
      </c>
      <c r="AE34" t="str" cm="1">
        <f t="array" aca="1" ref="AE34" ca="1">IF(ISBLANK($C34),"",IF(I34=0,INDIRECT(I$2&amp;"!F"&amp;$T34),""))</f>
        <v/>
      </c>
      <c r="AF34" t="str" cm="1">
        <f t="array" aca="1" ref="AF34" ca="1">IF(ISBLANK($C34),"",IF(J34=0,INDIRECT(J$2&amp;"!F"&amp;$T34),""))</f>
        <v/>
      </c>
      <c r="AG34" t="str" cm="1">
        <f t="array" aca="1" ref="AG34" ca="1">IF(ISBLANK($C34),"",IF(K34=0,INDIRECT(K$2&amp;"!F"&amp;$T34),""))</f>
        <v/>
      </c>
      <c r="AH34" t="str" cm="1">
        <f t="array" aca="1" ref="AH34" ca="1">IF(ISBLANK($C34),"",IF(L34=0,INDIRECT(L$2&amp;"!F"&amp;$T34),""))</f>
        <v/>
      </c>
      <c r="AI34" cm="1">
        <f t="array" aca="1" ref="AI34" ca="1">IF(ISBLANK($C34),"",IF(M34=0,INDIRECT(M$2&amp;"!F"&amp;$T34),""))</f>
        <v>2</v>
      </c>
      <c r="AJ34" t="str" cm="1">
        <f t="array" aca="1" ref="AJ34" ca="1">IF(ISBLANK($C34),"",IF(N34=0,INDIRECT(N$2&amp;"!F"&amp;$T34),""))</f>
        <v/>
      </c>
      <c r="AK34" cm="1">
        <f t="array" aca="1" ref="AK34" ca="1">IF(ISBLANK($C34),"",IF(O34=0,INDIRECT(O$2&amp;"!F"&amp;$T34),""))</f>
        <v>31</v>
      </c>
      <c r="AL34" t="str" cm="1">
        <f t="array" aca="1" ref="AL34" ca="1">IF(ISBLANK($C34),"",IF(P34=0,INDIRECT(P$2&amp;"!F"&amp;$T34),""))</f>
        <v/>
      </c>
      <c r="AM34" t="str" cm="1">
        <f t="array" aca="1" ref="AM34" ca="1">IF(ISBLANK($C34),"",IF(Q34=0,INDIRECT(Q$2&amp;"!F"&amp;$T34),""))</f>
        <v/>
      </c>
      <c r="AN34" t="str" cm="1">
        <f t="array" aca="1" ref="AN34" ca="1">IF(ISBLANK($C34),"",IF(R34=0,INDIRECT(R$2&amp;"!F"&amp;$T34),""))</f>
        <v/>
      </c>
      <c r="AO34" t="str" cm="1">
        <f t="array" aca="1" ref="AO34" ca="1">IF(ISBLANK($C34),"",IF(S34=0,INDIRECT(S$2&amp;"!F"&amp;$T34),""))</f>
        <v/>
      </c>
      <c r="AP34">
        <f t="shared" ca="1" si="6"/>
        <v>3</v>
      </c>
      <c r="AQ34">
        <f t="shared" ca="1" si="7"/>
        <v>15</v>
      </c>
    </row>
    <row r="35" spans="1:43" ht="15.5" x14ac:dyDescent="0.35">
      <c r="A35" s="28">
        <v>43830</v>
      </c>
      <c r="B35" s="29" t="s">
        <v>98</v>
      </c>
      <c r="C35" s="29" t="s">
        <v>100</v>
      </c>
      <c r="D35" s="39"/>
      <c r="E35" s="41" cm="1">
        <f t="array" aca="1" ref="E35" ca="1">IF(ISBLANK($C35),"",IF(($C35=(INDIRECT(E$2&amp;"!E"&amp;$T35))),(INDIRECT(E$2&amp;"!F"&amp;$T35)),0))</f>
        <v>14</v>
      </c>
      <c r="F35" s="42" cm="1">
        <f t="array" aca="1" ref="F35" ca="1">IF(ISBLANK($C35),"",IF(($C35=(INDIRECT(F$2&amp;"!E"&amp;$T35))),(INDIRECT(F$2&amp;"!F"&amp;$T35)),0))</f>
        <v>0</v>
      </c>
      <c r="G35" s="42" cm="1">
        <f t="array" aca="1" ref="G35" ca="1">IF(ISBLANK($C35),"",IF(($C35=(INDIRECT(G$2&amp;"!E"&amp;$T35))),(INDIRECT(G$2&amp;"!F"&amp;$T35)),0))</f>
        <v>26</v>
      </c>
      <c r="H35" s="42" cm="1">
        <f t="array" aca="1" ref="H35" ca="1">IF(ISBLANK($C35),"",IF(($C35=(INDIRECT(H$2&amp;"!E"&amp;$T35))),(INDIRECT(H$2&amp;"!F"&amp;$T35)),0))</f>
        <v>0</v>
      </c>
      <c r="I35" s="42" cm="1">
        <f t="array" aca="1" ref="I35" ca="1">IF(ISBLANK($C35),"",IF(($C35=(INDIRECT(I$2&amp;"!E"&amp;$T35))),(INDIRECT(I$2&amp;"!F"&amp;$T35)),0))</f>
        <v>0</v>
      </c>
      <c r="J35" s="42" cm="1">
        <f t="array" aca="1" ref="J35" ca="1">IF(ISBLANK($C35),"",IF(($C35=(INDIRECT(J$2&amp;"!E"&amp;$T35))),(INDIRECT(J$2&amp;"!F"&amp;$T35)),0))</f>
        <v>0</v>
      </c>
      <c r="K35" s="42" cm="1">
        <f t="array" aca="1" ref="K35" ca="1">IF(ISBLANK($C35),"",IF(($C35=(INDIRECT(K$2&amp;"!E"&amp;$T35))),(INDIRECT(K$2&amp;"!F"&amp;$T35)),0))</f>
        <v>0</v>
      </c>
      <c r="L35" s="42" cm="1">
        <f t="array" aca="1" ref="L35" ca="1">IF(ISBLANK($C35),"",IF(($C35=(INDIRECT(L$2&amp;"!E"&amp;$T35))),(INDIRECT(L$2&amp;"!F"&amp;$T35)),0))</f>
        <v>0</v>
      </c>
      <c r="M35" s="42" cm="1">
        <f t="array" aca="1" ref="M35" ca="1">IF(ISBLANK($C35),"",IF(($C35=(INDIRECT(M$2&amp;"!E"&amp;$T35))),(INDIRECT(M$2&amp;"!F"&amp;$T35)),0))</f>
        <v>0</v>
      </c>
      <c r="N35" s="42" cm="1">
        <f t="array" aca="1" ref="N35" ca="1">IF(ISBLANK($C35),"",IF(($C35=(INDIRECT(N$2&amp;"!E"&amp;$T35))),(INDIRECT(N$2&amp;"!F"&amp;$T35)),0))</f>
        <v>0</v>
      </c>
      <c r="O35" s="42" cm="1">
        <f t="array" aca="1" ref="O35" ca="1">IF(ISBLANK($C35),"",IF(($C35=(INDIRECT(O$2&amp;"!E"&amp;$T35))),(INDIRECT(O$2&amp;"!F"&amp;$T35)),0))</f>
        <v>0</v>
      </c>
      <c r="P35" s="42" cm="1">
        <f t="array" aca="1" ref="P35" ca="1">IF(ISBLANK($C35),"",IF(($C35=(INDIRECT(P$2&amp;"!E"&amp;$T35))),(INDIRECT(P$2&amp;"!F"&amp;$T35)),0))</f>
        <v>0</v>
      </c>
      <c r="Q35" s="42" cm="1">
        <f t="array" aca="1" ref="Q35" ca="1">IF(ISBLANK($C35),"",IF(($C35=(INDIRECT(Q$2&amp;"!E"&amp;$T35))),(INDIRECT(Q$2&amp;"!F"&amp;$T35)),0))</f>
        <v>0</v>
      </c>
      <c r="R35" s="42" cm="1">
        <f t="array" aca="1" ref="R35" ca="1">IF(ISBLANK($C35),"",IF(($C35=(INDIRECT(R$2&amp;"!E"&amp;$T35))),(INDIRECT(R$2&amp;"!F"&amp;$T35)),0))</f>
        <v>0</v>
      </c>
      <c r="S35" s="43" cm="1">
        <f t="array" aca="1" ref="S35" ca="1">IF(ISBLANK($C35),"",IF(($C35=(INDIRECT(S$2&amp;"!E"&amp;$T35))),(INDIRECT(S$2&amp;"!F"&amp;$T35)),0))</f>
        <v>0</v>
      </c>
      <c r="T35" s="50">
        <f t="shared" si="8"/>
        <v>34</v>
      </c>
      <c r="U35" s="78">
        <f t="shared" ca="1" si="2"/>
        <v>2</v>
      </c>
      <c r="V35" s="80">
        <f t="shared" ca="1" si="3"/>
        <v>20</v>
      </c>
      <c r="W35" s="79" t="s">
        <v>98</v>
      </c>
      <c r="X35" s="86">
        <f t="shared" ca="1" si="4"/>
        <v>13</v>
      </c>
      <c r="Y35" s="87">
        <f t="shared" ca="1" si="5"/>
        <v>25.53846153846154</v>
      </c>
      <c r="Z35" s="79" t="s">
        <v>98</v>
      </c>
      <c r="AA35" t="str" cm="1">
        <f t="array" aca="1" ref="AA35" ca="1">IF(ISBLANK($C35),"",IF(E35=0,INDIRECT(E$2&amp;"!F"&amp;$T35),""))</f>
        <v/>
      </c>
      <c r="AB35" cm="1">
        <f t="array" aca="1" ref="AB35" ca="1">IF(ISBLANK($C35),"",IF(F35=0,INDIRECT(F$2&amp;"!F"&amp;$T35),""))</f>
        <v>27</v>
      </c>
      <c r="AC35" t="str" cm="1">
        <f t="array" aca="1" ref="AC35" ca="1">IF(ISBLANK($C35),"",IF(G35=0,INDIRECT(G$2&amp;"!F"&amp;$T35),""))</f>
        <v/>
      </c>
      <c r="AD35" cm="1">
        <f t="array" aca="1" ref="AD35" ca="1">IF(ISBLANK($C35),"",IF(H35=0,INDIRECT(H$2&amp;"!F"&amp;$T35),""))</f>
        <v>26</v>
      </c>
      <c r="AE35" cm="1">
        <f t="array" aca="1" ref="AE35" ca="1">IF(ISBLANK($C35),"",IF(I35=0,INDIRECT(I$2&amp;"!F"&amp;$T35),""))</f>
        <v>9</v>
      </c>
      <c r="AF35" cm="1">
        <f t="array" aca="1" ref="AF35" ca="1">IF(ISBLANK($C35),"",IF(J35=0,INDIRECT(J$2&amp;"!F"&amp;$T35),""))</f>
        <v>18</v>
      </c>
      <c r="AG35" cm="1">
        <f t="array" aca="1" ref="AG35" ca="1">IF(ISBLANK($C35),"",IF(K35=0,INDIRECT(K$2&amp;"!F"&amp;$T35),""))</f>
        <v>29</v>
      </c>
      <c r="AH35" cm="1">
        <f t="array" aca="1" ref="AH35" ca="1">IF(ISBLANK($C35),"",IF(L35=0,INDIRECT(L$2&amp;"!F"&amp;$T35),""))</f>
        <v>25</v>
      </c>
      <c r="AI35" cm="1">
        <f t="array" aca="1" ref="AI35" ca="1">IF(ISBLANK($C35),"",IF(M35=0,INDIRECT(M$2&amp;"!F"&amp;$T35),""))</f>
        <v>32</v>
      </c>
      <c r="AJ35" cm="1">
        <f t="array" aca="1" ref="AJ35" ca="1">IF(ISBLANK($C35),"",IF(N35=0,INDIRECT(N$2&amp;"!F"&amp;$T35),""))</f>
        <v>37</v>
      </c>
      <c r="AK35" cm="1">
        <f t="array" aca="1" ref="AK35" ca="1">IF(ISBLANK($C35),"",IF(O35=0,INDIRECT(O$2&amp;"!F"&amp;$T35),""))</f>
        <v>32</v>
      </c>
      <c r="AL35" cm="1">
        <f t="array" aca="1" ref="AL35" ca="1">IF(ISBLANK($C35),"",IF(P35=0,INDIRECT(P$2&amp;"!F"&amp;$T35),""))</f>
        <v>20</v>
      </c>
      <c r="AM35" cm="1">
        <f t="array" aca="1" ref="AM35" ca="1">IF(ISBLANK($C35),"",IF(Q35=0,INDIRECT(Q$2&amp;"!F"&amp;$T35),""))</f>
        <v>2</v>
      </c>
      <c r="AN35" cm="1">
        <f t="array" aca="1" ref="AN35" ca="1">IF(ISBLANK($C35),"",IF(R35=0,INDIRECT(R$2&amp;"!F"&amp;$T35),""))</f>
        <v>35</v>
      </c>
      <c r="AO35" cm="1">
        <f t="array" aca="1" ref="AO35" ca="1">IF(ISBLANK($C35),"",IF(S35=0,INDIRECT(S$2&amp;"!F"&amp;$T35),""))</f>
        <v>40</v>
      </c>
      <c r="AP35">
        <f t="shared" ca="1" si="6"/>
        <v>13</v>
      </c>
      <c r="AQ35">
        <f t="shared" ca="1" si="7"/>
        <v>15</v>
      </c>
    </row>
    <row r="36" spans="1:43" ht="15.5" x14ac:dyDescent="0.35">
      <c r="A36" s="28">
        <v>43466</v>
      </c>
      <c r="B36" s="29" t="s">
        <v>101</v>
      </c>
      <c r="C36" s="29" t="s">
        <v>102</v>
      </c>
      <c r="D36" s="39"/>
      <c r="E36" s="41" cm="1">
        <f t="array" aca="1" ref="E36" ca="1">IF(ISBLANK($C36),"",IF(($C36=(INDIRECT(E$2&amp;"!E"&amp;$T36))),(INDIRECT(E$2&amp;"!F"&amp;$T36)),0))</f>
        <v>33</v>
      </c>
      <c r="F36" s="42" cm="1">
        <f t="array" aca="1" ref="F36" ca="1">IF(ISBLANK($C36),"",IF(($C36=(INDIRECT(F$2&amp;"!E"&amp;$T36))),(INDIRECT(F$2&amp;"!F"&amp;$T36)),0))</f>
        <v>36</v>
      </c>
      <c r="G36" s="42" cm="1">
        <f t="array" aca="1" ref="G36" ca="1">IF(ISBLANK($C36),"",IF(($C36=(INDIRECT(G$2&amp;"!E"&amp;$T36))),(INDIRECT(G$2&amp;"!F"&amp;$T36)),0))</f>
        <v>0</v>
      </c>
      <c r="H36" s="42" cm="1">
        <f t="array" aca="1" ref="H36" ca="1">IF(ISBLANK($C36),"",IF(($C36=(INDIRECT(H$2&amp;"!E"&amp;$T36))),(INDIRECT(H$2&amp;"!F"&amp;$T36)),0))</f>
        <v>32</v>
      </c>
      <c r="I36" s="42" cm="1">
        <f t="array" aca="1" ref="I36" ca="1">IF(ISBLANK($C36),"",IF(($C36=(INDIRECT(I$2&amp;"!E"&amp;$T36))),(INDIRECT(I$2&amp;"!F"&amp;$T36)),0))</f>
        <v>33</v>
      </c>
      <c r="J36" s="42" cm="1">
        <f t="array" aca="1" ref="J36" ca="1">IF(ISBLANK($C36),"",IF(($C36=(INDIRECT(J$2&amp;"!E"&amp;$T36))),(INDIRECT(J$2&amp;"!F"&amp;$T36)),0))</f>
        <v>39</v>
      </c>
      <c r="K36" s="42" cm="1">
        <f t="array" aca="1" ref="K36" ca="1">IF(ISBLANK($C36),"",IF(($C36=(INDIRECT(K$2&amp;"!E"&amp;$T36))),(INDIRECT(K$2&amp;"!F"&amp;$T36)),0))</f>
        <v>30</v>
      </c>
      <c r="L36" s="42" cm="1">
        <f t="array" aca="1" ref="L36" ca="1">IF(ISBLANK($C36),"",IF(($C36=(INDIRECT(L$2&amp;"!E"&amp;$T36))),(INDIRECT(L$2&amp;"!F"&amp;$T36)),0))</f>
        <v>30</v>
      </c>
      <c r="M36" s="42" cm="1">
        <f t="array" aca="1" ref="M36" ca="1">IF(ISBLANK($C36),"",IF(($C36=(INDIRECT(M$2&amp;"!E"&amp;$T36))),(INDIRECT(M$2&amp;"!F"&amp;$T36)),0))</f>
        <v>23</v>
      </c>
      <c r="N36" s="42" cm="1">
        <f t="array" aca="1" ref="N36" ca="1">IF(ISBLANK($C36),"",IF(($C36=(INDIRECT(N$2&amp;"!E"&amp;$T36))),(INDIRECT(N$2&amp;"!F"&amp;$T36)),0))</f>
        <v>0</v>
      </c>
      <c r="O36" s="42" cm="1">
        <f t="array" aca="1" ref="O36" ca="1">IF(ISBLANK($C36),"",IF(($C36=(INDIRECT(O$2&amp;"!E"&amp;$T36))),(INDIRECT(O$2&amp;"!F"&amp;$T36)),0))</f>
        <v>13</v>
      </c>
      <c r="P36" s="42" cm="1">
        <f t="array" aca="1" ref="P36" ca="1">IF(ISBLANK($C36),"",IF(($C36=(INDIRECT(P$2&amp;"!E"&amp;$T36))),(INDIRECT(P$2&amp;"!F"&amp;$T36)),0))</f>
        <v>12</v>
      </c>
      <c r="Q36" s="42" cm="1">
        <f t="array" aca="1" ref="Q36" ca="1">IF(ISBLANK($C36),"",IF(($C36=(INDIRECT(Q$2&amp;"!E"&amp;$T36))),(INDIRECT(Q$2&amp;"!F"&amp;$T36)),0))</f>
        <v>0</v>
      </c>
      <c r="R36" s="42" cm="1">
        <f t="array" aca="1" ref="R36" ca="1">IF(ISBLANK($C36),"",IF(($C36=(INDIRECT(R$2&amp;"!E"&amp;$T36))),(INDIRECT(R$2&amp;"!F"&amp;$T36)),0))</f>
        <v>31</v>
      </c>
      <c r="S36" s="43" cm="1">
        <f t="array" aca="1" ref="S36" ca="1">IF(ISBLANK($C36),"",IF(($C36=(INDIRECT(S$2&amp;"!E"&amp;$T36))),(INDIRECT(S$2&amp;"!F"&amp;$T36)),0))</f>
        <v>37</v>
      </c>
      <c r="T36" s="50">
        <f t="shared" si="8"/>
        <v>35</v>
      </c>
      <c r="U36" s="78">
        <f t="shared" ca="1" si="2"/>
        <v>12</v>
      </c>
      <c r="V36" s="80">
        <f t="shared" ca="1" si="3"/>
        <v>29.083333333333332</v>
      </c>
      <c r="W36" s="79" t="s">
        <v>101</v>
      </c>
      <c r="X36" s="86">
        <f t="shared" ca="1" si="4"/>
        <v>3</v>
      </c>
      <c r="Y36" s="87">
        <f t="shared" ca="1" si="5"/>
        <v>20.333333333333332</v>
      </c>
      <c r="Z36" s="79" t="s">
        <v>101</v>
      </c>
      <c r="AA36" t="str" cm="1">
        <f t="array" aca="1" ref="AA36" ca="1">IF(ISBLANK($C36),"",IF(E36=0,INDIRECT(E$2&amp;"!F"&amp;$T36),""))</f>
        <v/>
      </c>
      <c r="AB36" t="str" cm="1">
        <f t="array" aca="1" ref="AB36" ca="1">IF(ISBLANK($C36),"",IF(F36=0,INDIRECT(F$2&amp;"!F"&amp;$T36),""))</f>
        <v/>
      </c>
      <c r="AC36" cm="1">
        <f t="array" aca="1" ref="AC36" ca="1">IF(ISBLANK($C36),"",IF(G36=0,INDIRECT(G$2&amp;"!F"&amp;$T36),""))</f>
        <v>18</v>
      </c>
      <c r="AD36" t="str" cm="1">
        <f t="array" aca="1" ref="AD36" ca="1">IF(ISBLANK($C36),"",IF(H36=0,INDIRECT(H$2&amp;"!F"&amp;$T36),""))</f>
        <v/>
      </c>
      <c r="AE36" t="str" cm="1">
        <f t="array" aca="1" ref="AE36" ca="1">IF(ISBLANK($C36),"",IF(I36=0,INDIRECT(I$2&amp;"!F"&amp;$T36),""))</f>
        <v/>
      </c>
      <c r="AF36" t="str" cm="1">
        <f t="array" aca="1" ref="AF36" ca="1">IF(ISBLANK($C36),"",IF(J36=0,INDIRECT(J$2&amp;"!F"&amp;$T36),""))</f>
        <v/>
      </c>
      <c r="AG36" t="str" cm="1">
        <f t="array" aca="1" ref="AG36" ca="1">IF(ISBLANK($C36),"",IF(K36=0,INDIRECT(K$2&amp;"!F"&amp;$T36),""))</f>
        <v/>
      </c>
      <c r="AH36" t="str" cm="1">
        <f t="array" aca="1" ref="AH36" ca="1">IF(ISBLANK($C36),"",IF(L36=0,INDIRECT(L$2&amp;"!F"&amp;$T36),""))</f>
        <v/>
      </c>
      <c r="AI36" t="str" cm="1">
        <f t="array" aca="1" ref="AI36" ca="1">IF(ISBLANK($C36),"",IF(M36=0,INDIRECT(M$2&amp;"!F"&amp;$T36),""))</f>
        <v/>
      </c>
      <c r="AJ36" cm="1">
        <f t="array" aca="1" ref="AJ36" ca="1">IF(ISBLANK($C36),"",IF(N36=0,INDIRECT(N$2&amp;"!F"&amp;$T36),""))</f>
        <v>22</v>
      </c>
      <c r="AK36" t="str" cm="1">
        <f t="array" aca="1" ref="AK36" ca="1">IF(ISBLANK($C36),"",IF(O36=0,INDIRECT(O$2&amp;"!F"&amp;$T36),""))</f>
        <v/>
      </c>
      <c r="AL36" t="str" cm="1">
        <f t="array" aca="1" ref="AL36" ca="1">IF(ISBLANK($C36),"",IF(P36=0,INDIRECT(P$2&amp;"!F"&amp;$T36),""))</f>
        <v/>
      </c>
      <c r="AM36" cm="1">
        <f t="array" aca="1" ref="AM36" ca="1">IF(ISBLANK($C36),"",IF(Q36=0,INDIRECT(Q$2&amp;"!F"&amp;$T36),""))</f>
        <v>21</v>
      </c>
      <c r="AN36" t="str" cm="1">
        <f t="array" aca="1" ref="AN36" ca="1">IF(ISBLANK($C36),"",IF(R36=0,INDIRECT(R$2&amp;"!F"&amp;$T36),""))</f>
        <v/>
      </c>
      <c r="AO36" t="str" cm="1">
        <f t="array" aca="1" ref="AO36" ca="1">IF(ISBLANK($C36),"",IF(S36=0,INDIRECT(S$2&amp;"!F"&amp;$T36),""))</f>
        <v/>
      </c>
      <c r="AP36">
        <f t="shared" ca="1" si="6"/>
        <v>3</v>
      </c>
      <c r="AQ36">
        <f t="shared" ca="1" si="7"/>
        <v>15</v>
      </c>
    </row>
    <row r="37" spans="1:43" ht="15.5" x14ac:dyDescent="0.35">
      <c r="A37" s="28">
        <v>43466</v>
      </c>
      <c r="B37" s="29" t="s">
        <v>104</v>
      </c>
      <c r="C37" s="29" t="s">
        <v>106</v>
      </c>
      <c r="D37" s="39"/>
      <c r="E37" s="41" cm="1">
        <f t="array" aca="1" ref="E37" ca="1">IF(ISBLANK($C37),"",IF(($C37=(INDIRECT(E$2&amp;"!E"&amp;$T37))),(INDIRECT(E$2&amp;"!F"&amp;$T37)),0))</f>
        <v>5</v>
      </c>
      <c r="F37" s="42" cm="1">
        <f t="array" aca="1" ref="F37" ca="1">IF(ISBLANK($C37),"",IF(($C37=(INDIRECT(F$2&amp;"!E"&amp;$T37))),(INDIRECT(F$2&amp;"!F"&amp;$T37)),0))</f>
        <v>0</v>
      </c>
      <c r="G37" s="42" cm="1">
        <f t="array" aca="1" ref="G37" ca="1">IF(ISBLANK($C37),"",IF(($C37=(INDIRECT(G$2&amp;"!E"&amp;$T37))),(INDIRECT(G$2&amp;"!F"&amp;$T37)),0))</f>
        <v>0</v>
      </c>
      <c r="H37" s="42" cm="1">
        <f t="array" aca="1" ref="H37" ca="1">IF(ISBLANK($C37),"",IF(($C37=(INDIRECT(H$2&amp;"!E"&amp;$T37))),(INDIRECT(H$2&amp;"!F"&amp;$T37)),0))</f>
        <v>0</v>
      </c>
      <c r="I37" s="42" cm="1">
        <f t="array" aca="1" ref="I37" ca="1">IF(ISBLANK($C37),"",IF(($C37=(INDIRECT(I$2&amp;"!E"&amp;$T37))),(INDIRECT(I$2&amp;"!F"&amp;$T37)),0))</f>
        <v>0</v>
      </c>
      <c r="J37" s="42" cm="1">
        <f t="array" aca="1" ref="J37" ca="1">IF(ISBLANK($C37),"",IF(($C37=(INDIRECT(J$2&amp;"!E"&amp;$T37))),(INDIRECT(J$2&amp;"!F"&amp;$T37)),0))</f>
        <v>0</v>
      </c>
      <c r="K37" s="42" cm="1">
        <f t="array" aca="1" ref="K37" ca="1">IF(ISBLANK($C37),"",IF(($C37=(INDIRECT(K$2&amp;"!E"&amp;$T37))),(INDIRECT(K$2&amp;"!F"&amp;$T37)),0))</f>
        <v>0</v>
      </c>
      <c r="L37" s="42" cm="1">
        <f t="array" aca="1" ref="L37" ca="1">IF(ISBLANK($C37),"",IF(($C37=(INDIRECT(L$2&amp;"!E"&amp;$T37))),(INDIRECT(L$2&amp;"!F"&amp;$T37)),0))</f>
        <v>2</v>
      </c>
      <c r="M37" s="42" cm="1">
        <f t="array" aca="1" ref="M37" ca="1">IF(ISBLANK($C37),"",IF(($C37=(INDIRECT(M$2&amp;"!E"&amp;$T37))),(INDIRECT(M$2&amp;"!F"&amp;$T37)),0))</f>
        <v>22</v>
      </c>
      <c r="N37" s="42" cm="1">
        <f t="array" aca="1" ref="N37" ca="1">IF(ISBLANK($C37),"",IF(($C37=(INDIRECT(N$2&amp;"!E"&amp;$T37))),(INDIRECT(N$2&amp;"!F"&amp;$T37)),0))</f>
        <v>27</v>
      </c>
      <c r="O37" s="42" cm="1">
        <f t="array" aca="1" ref="O37" ca="1">IF(ISBLANK($C37),"",IF(($C37=(INDIRECT(O$2&amp;"!E"&amp;$T37))),(INDIRECT(O$2&amp;"!F"&amp;$T37)),0))</f>
        <v>14</v>
      </c>
      <c r="P37" s="42" cm="1">
        <f t="array" aca="1" ref="P37" ca="1">IF(ISBLANK($C37),"",IF(($C37=(INDIRECT(P$2&amp;"!E"&amp;$T37))),(INDIRECT(P$2&amp;"!F"&amp;$T37)),0))</f>
        <v>0</v>
      </c>
      <c r="Q37" s="42" cm="1">
        <f t="array" aca="1" ref="Q37" ca="1">IF(ISBLANK($C37),"",IF(($C37=(INDIRECT(Q$2&amp;"!E"&amp;$T37))),(INDIRECT(Q$2&amp;"!F"&amp;$T37)),0))</f>
        <v>27</v>
      </c>
      <c r="R37" s="42" cm="1">
        <f t="array" aca="1" ref="R37" ca="1">IF(ISBLANK($C37),"",IF(($C37=(INDIRECT(R$2&amp;"!E"&amp;$T37))),(INDIRECT(R$2&amp;"!F"&amp;$T37)),0))</f>
        <v>16</v>
      </c>
      <c r="S37" s="43" cm="1">
        <f t="array" aca="1" ref="S37" ca="1">IF(ISBLANK($C37),"",IF(($C37=(INDIRECT(S$2&amp;"!E"&amp;$T37))),(INDIRECT(S$2&amp;"!F"&amp;$T37)),0))</f>
        <v>0</v>
      </c>
      <c r="T37" s="50">
        <f t="shared" si="8"/>
        <v>36</v>
      </c>
      <c r="U37" s="78">
        <f t="shared" ca="1" si="2"/>
        <v>7</v>
      </c>
      <c r="V37" s="80">
        <f t="shared" ca="1" si="3"/>
        <v>16.142857142857142</v>
      </c>
      <c r="W37" s="79" t="s">
        <v>104</v>
      </c>
      <c r="X37" s="86">
        <f t="shared" ca="1" si="4"/>
        <v>8</v>
      </c>
      <c r="Y37" s="87">
        <f t="shared" ca="1" si="5"/>
        <v>29.625</v>
      </c>
      <c r="Z37" s="79" t="s">
        <v>104</v>
      </c>
      <c r="AA37" t="str" cm="1">
        <f t="array" aca="1" ref="AA37" ca="1">IF(ISBLANK($C37),"",IF(E37=0,INDIRECT(E$2&amp;"!F"&amp;$T37),""))</f>
        <v/>
      </c>
      <c r="AB37" cm="1">
        <f t="array" aca="1" ref="AB37" ca="1">IF(ISBLANK($C37),"",IF(F37=0,INDIRECT(F$2&amp;"!F"&amp;$T37),""))</f>
        <v>26</v>
      </c>
      <c r="AC37" cm="1">
        <f t="array" aca="1" ref="AC37" ca="1">IF(ISBLANK($C37),"",IF(G37=0,INDIRECT(G$2&amp;"!F"&amp;$T37),""))</f>
        <v>39</v>
      </c>
      <c r="AD37" cm="1">
        <f t="array" aca="1" ref="AD37" ca="1">IF(ISBLANK($C37),"",IF(H37=0,INDIRECT(H$2&amp;"!F"&amp;$T37),""))</f>
        <v>34</v>
      </c>
      <c r="AE37" cm="1">
        <f t="array" aca="1" ref="AE37" ca="1">IF(ISBLANK($C37),"",IF(I37=0,INDIRECT(I$2&amp;"!F"&amp;$T37),""))</f>
        <v>27</v>
      </c>
      <c r="AF37" cm="1">
        <f t="array" aca="1" ref="AF37" ca="1">IF(ISBLANK($C37),"",IF(J37=0,INDIRECT(J$2&amp;"!F"&amp;$T37),""))</f>
        <v>38</v>
      </c>
      <c r="AG37" cm="1">
        <f t="array" aca="1" ref="AG37" ca="1">IF(ISBLANK($C37),"",IF(K37=0,INDIRECT(K$2&amp;"!F"&amp;$T37),""))</f>
        <v>39</v>
      </c>
      <c r="AH37" t="str" cm="1">
        <f t="array" aca="1" ref="AH37" ca="1">IF(ISBLANK($C37),"",IF(L37=0,INDIRECT(L$2&amp;"!F"&amp;$T37),""))</f>
        <v/>
      </c>
      <c r="AI37" t="str" cm="1">
        <f t="array" aca="1" ref="AI37" ca="1">IF(ISBLANK($C37),"",IF(M37=0,INDIRECT(M$2&amp;"!F"&amp;$T37),""))</f>
        <v/>
      </c>
      <c r="AJ37" t="str" cm="1">
        <f t="array" aca="1" ref="AJ37" ca="1">IF(ISBLANK($C37),"",IF(N37=0,INDIRECT(N$2&amp;"!F"&amp;$T37),""))</f>
        <v/>
      </c>
      <c r="AK37" t="str" cm="1">
        <f t="array" aca="1" ref="AK37" ca="1">IF(ISBLANK($C37),"",IF(O37=0,INDIRECT(O$2&amp;"!F"&amp;$T37),""))</f>
        <v/>
      </c>
      <c r="AL37" cm="1">
        <f t="array" aca="1" ref="AL37" ca="1">IF(ISBLANK($C37),"",IF(P37=0,INDIRECT(P$2&amp;"!F"&amp;$T37),""))</f>
        <v>19</v>
      </c>
      <c r="AM37" t="str" cm="1">
        <f t="array" aca="1" ref="AM37" ca="1">IF(ISBLANK($C37),"",IF(Q37=0,INDIRECT(Q$2&amp;"!F"&amp;$T37),""))</f>
        <v/>
      </c>
      <c r="AN37" t="str" cm="1">
        <f t="array" aca="1" ref="AN37" ca="1">IF(ISBLANK($C37),"",IF(R37=0,INDIRECT(R$2&amp;"!F"&amp;$T37),""))</f>
        <v/>
      </c>
      <c r="AO37" cm="1">
        <f t="array" aca="1" ref="AO37" ca="1">IF(ISBLANK($C37),"",IF(S37=0,INDIRECT(S$2&amp;"!F"&amp;$T37),""))</f>
        <v>15</v>
      </c>
      <c r="AP37">
        <f t="shared" ca="1" si="6"/>
        <v>8</v>
      </c>
      <c r="AQ37">
        <f t="shared" ca="1" si="7"/>
        <v>15</v>
      </c>
    </row>
    <row r="38" spans="1:43" ht="15.5" x14ac:dyDescent="0.35">
      <c r="A38" s="28">
        <v>43466</v>
      </c>
      <c r="B38" s="29" t="s">
        <v>107</v>
      </c>
      <c r="C38" s="29" t="s">
        <v>108</v>
      </c>
      <c r="D38" s="39"/>
      <c r="E38" s="41" cm="1">
        <f t="array" aca="1" ref="E38" ca="1">IF(ISBLANK($C38),"",IF(($C38=(INDIRECT(E$2&amp;"!E"&amp;$T38))),(INDIRECT(E$2&amp;"!F"&amp;$T38)),0))</f>
        <v>16</v>
      </c>
      <c r="F38" s="42" cm="1">
        <f t="array" aca="1" ref="F38" ca="1">IF(ISBLANK($C38),"",IF(($C38=(INDIRECT(F$2&amp;"!E"&amp;$T38))),(INDIRECT(F$2&amp;"!F"&amp;$T38)),0))</f>
        <v>0</v>
      </c>
      <c r="G38" s="42" cm="1">
        <f t="array" aca="1" ref="G38" ca="1">IF(ISBLANK($C38),"",IF(($C38=(INDIRECT(G$2&amp;"!E"&amp;$T38))),(INDIRECT(G$2&amp;"!F"&amp;$T38)),0))</f>
        <v>0</v>
      </c>
      <c r="H38" s="42" cm="1">
        <f t="array" aca="1" ref="H38" ca="1">IF(ISBLANK($C38),"",IF(($C38=(INDIRECT(H$2&amp;"!E"&amp;$T38))),(INDIRECT(H$2&amp;"!F"&amp;$T38)),0))</f>
        <v>2</v>
      </c>
      <c r="I38" s="42" cm="1">
        <f t="array" aca="1" ref="I38" ca="1">IF(ISBLANK($C38),"",IF(($C38=(INDIRECT(I$2&amp;"!E"&amp;$T38))),(INDIRECT(I$2&amp;"!F"&amp;$T38)),0))</f>
        <v>0</v>
      </c>
      <c r="J38" s="42" cm="1">
        <f t="array" aca="1" ref="J38" ca="1">IF(ISBLANK($C38),"",IF(($C38=(INDIRECT(J$2&amp;"!E"&amp;$T38))),(INDIRECT(J$2&amp;"!F"&amp;$T38)),0))</f>
        <v>0</v>
      </c>
      <c r="K38" s="42" cm="1">
        <f t="array" aca="1" ref="K38" ca="1">IF(ISBLANK($C38),"",IF(($C38=(INDIRECT(K$2&amp;"!E"&amp;$T38))),(INDIRECT(K$2&amp;"!F"&amp;$T38)),0))</f>
        <v>0</v>
      </c>
      <c r="L38" s="42" cm="1">
        <f t="array" aca="1" ref="L38" ca="1">IF(ISBLANK($C38),"",IF(($C38=(INDIRECT(L$2&amp;"!E"&amp;$T38))),(INDIRECT(L$2&amp;"!F"&amp;$T38)),0))</f>
        <v>0</v>
      </c>
      <c r="M38" s="42" cm="1">
        <f t="array" aca="1" ref="M38" ca="1">IF(ISBLANK($C38),"",IF(($C38=(INDIRECT(M$2&amp;"!E"&amp;$T38))),(INDIRECT(M$2&amp;"!F"&amp;$T38)),0))</f>
        <v>0</v>
      </c>
      <c r="N38" s="42" cm="1">
        <f t="array" aca="1" ref="N38" ca="1">IF(ISBLANK($C38),"",IF(($C38=(INDIRECT(N$2&amp;"!E"&amp;$T38))),(INDIRECT(N$2&amp;"!F"&amp;$T38)),0))</f>
        <v>34</v>
      </c>
      <c r="O38" s="42" cm="1">
        <f t="array" aca="1" ref="O38" ca="1">IF(ISBLANK($C38),"",IF(($C38=(INDIRECT(O$2&amp;"!E"&amp;$T38))),(INDIRECT(O$2&amp;"!F"&amp;$T38)),0))</f>
        <v>0</v>
      </c>
      <c r="P38" s="42" cm="1">
        <f t="array" aca="1" ref="P38" ca="1">IF(ISBLANK($C38),"",IF(($C38=(INDIRECT(P$2&amp;"!E"&amp;$T38))),(INDIRECT(P$2&amp;"!F"&amp;$T38)),0))</f>
        <v>0</v>
      </c>
      <c r="Q38" s="42" cm="1">
        <f t="array" aca="1" ref="Q38" ca="1">IF(ISBLANK($C38),"",IF(($C38=(INDIRECT(Q$2&amp;"!E"&amp;$T38))),(INDIRECT(Q$2&amp;"!F"&amp;$T38)),0))</f>
        <v>0</v>
      </c>
      <c r="R38" s="42" cm="1">
        <f t="array" aca="1" ref="R38" ca="1">IF(ISBLANK($C38),"",IF(($C38=(INDIRECT(R$2&amp;"!E"&amp;$T38))),(INDIRECT(R$2&amp;"!F"&amp;$T38)),0))</f>
        <v>0</v>
      </c>
      <c r="S38" s="43" cm="1">
        <f t="array" aca="1" ref="S38" ca="1">IF(ISBLANK($C38),"",IF(($C38=(INDIRECT(S$2&amp;"!E"&amp;$T38))),(INDIRECT(S$2&amp;"!F"&amp;$T38)),0))</f>
        <v>0</v>
      </c>
      <c r="T38" s="50">
        <f t="shared" si="8"/>
        <v>37</v>
      </c>
      <c r="U38" s="78">
        <f t="shared" ca="1" si="2"/>
        <v>3</v>
      </c>
      <c r="V38" s="80">
        <f t="shared" ca="1" si="3"/>
        <v>17.333333333333332</v>
      </c>
      <c r="W38" s="79" t="s">
        <v>107</v>
      </c>
      <c r="X38" s="86">
        <f t="shared" ca="1" si="4"/>
        <v>12</v>
      </c>
      <c r="Y38" s="87">
        <f t="shared" ca="1" si="5"/>
        <v>16.416666666666668</v>
      </c>
      <c r="Z38" s="79" t="s">
        <v>107</v>
      </c>
      <c r="AA38" t="str" cm="1">
        <f t="array" aca="1" ref="AA38" ca="1">IF(ISBLANK($C38),"",IF(E38=0,INDIRECT(E$2&amp;"!F"&amp;$T38),""))</f>
        <v/>
      </c>
      <c r="AB38" cm="1">
        <f t="array" aca="1" ref="AB38" ca="1">IF(ISBLANK($C38),"",IF(F38=0,INDIRECT(F$2&amp;"!F"&amp;$T38),""))</f>
        <v>7</v>
      </c>
      <c r="AC38" cm="1">
        <f t="array" aca="1" ref="AC38" ca="1">IF(ISBLANK($C38),"",IF(G38=0,INDIRECT(G$2&amp;"!F"&amp;$T38),""))</f>
        <v>27</v>
      </c>
      <c r="AD38" t="str" cm="1">
        <f t="array" aca="1" ref="AD38" ca="1">IF(ISBLANK($C38),"",IF(H38=0,INDIRECT(H$2&amp;"!F"&amp;$T38),""))</f>
        <v/>
      </c>
      <c r="AE38" cm="1">
        <f t="array" aca="1" ref="AE38" ca="1">IF(ISBLANK($C38),"",IF(I38=0,INDIRECT(I$2&amp;"!F"&amp;$T38),""))</f>
        <v>15</v>
      </c>
      <c r="AF38" cm="1">
        <f t="array" aca="1" ref="AF38" ca="1">IF(ISBLANK($C38),"",IF(J38=0,INDIRECT(J$2&amp;"!F"&amp;$T38),""))</f>
        <v>10</v>
      </c>
      <c r="AG38" cm="1">
        <f t="array" aca="1" ref="AG38" ca="1">IF(ISBLANK($C38),"",IF(K38=0,INDIRECT(K$2&amp;"!F"&amp;$T38),""))</f>
        <v>33</v>
      </c>
      <c r="AH38" cm="1">
        <f t="array" aca="1" ref="AH38" ca="1">IF(ISBLANK($C38),"",IF(L38=0,INDIRECT(L$2&amp;"!F"&amp;$T38),""))</f>
        <v>9</v>
      </c>
      <c r="AI38" cm="1">
        <f t="array" aca="1" ref="AI38" ca="1">IF(ISBLANK($C38),"",IF(M38=0,INDIRECT(M$2&amp;"!F"&amp;$T38),""))</f>
        <v>3</v>
      </c>
      <c r="AJ38" t="str" cm="1">
        <f t="array" aca="1" ref="AJ38" ca="1">IF(ISBLANK($C38),"",IF(N38=0,INDIRECT(N$2&amp;"!F"&amp;$T38),""))</f>
        <v/>
      </c>
      <c r="AK38" cm="1">
        <f t="array" aca="1" ref="AK38" ca="1">IF(ISBLANK($C38),"",IF(O38=0,INDIRECT(O$2&amp;"!F"&amp;$T38),""))</f>
        <v>15</v>
      </c>
      <c r="AL38" cm="1">
        <f t="array" aca="1" ref="AL38" ca="1">IF(ISBLANK($C38),"",IF(P38=0,INDIRECT(P$2&amp;"!F"&amp;$T38),""))</f>
        <v>22</v>
      </c>
      <c r="AM38" cm="1">
        <f t="array" aca="1" ref="AM38" ca="1">IF(ISBLANK($C38),"",IF(Q38=0,INDIRECT(Q$2&amp;"!F"&amp;$T38),""))</f>
        <v>32</v>
      </c>
      <c r="AN38" cm="1">
        <f t="array" aca="1" ref="AN38" ca="1">IF(ISBLANK($C38),"",IF(R38=0,INDIRECT(R$2&amp;"!F"&amp;$T38),""))</f>
        <v>21</v>
      </c>
      <c r="AO38" cm="1">
        <f t="array" aca="1" ref="AO38" ca="1">IF(ISBLANK($C38),"",IF(S38=0,INDIRECT(S$2&amp;"!F"&amp;$T38),""))</f>
        <v>3</v>
      </c>
      <c r="AP38">
        <f t="shared" ca="1" si="6"/>
        <v>12</v>
      </c>
      <c r="AQ38">
        <f t="shared" ca="1" si="7"/>
        <v>15</v>
      </c>
    </row>
    <row r="39" spans="1:43" ht="15.5" x14ac:dyDescent="0.35">
      <c r="A39" s="28">
        <v>43466</v>
      </c>
      <c r="B39" s="29" t="s">
        <v>110</v>
      </c>
      <c r="C39" s="29" t="s">
        <v>111</v>
      </c>
      <c r="D39" s="39"/>
      <c r="E39" s="41" cm="1">
        <f t="array" aca="1" ref="E39" ca="1">IF(ISBLANK($C39),"",IF(($C39=(INDIRECT(E$2&amp;"!E"&amp;$T39))),(INDIRECT(E$2&amp;"!F"&amp;$T39)),0))</f>
        <v>0</v>
      </c>
      <c r="F39" s="42" cm="1">
        <f t="array" aca="1" ref="F39" ca="1">IF(ISBLANK($C39),"",IF(($C39=(INDIRECT(F$2&amp;"!E"&amp;$T39))),(INDIRECT(F$2&amp;"!F"&amp;$T39)),0))</f>
        <v>19</v>
      </c>
      <c r="G39" s="42" cm="1">
        <f t="array" aca="1" ref="G39" ca="1">IF(ISBLANK($C39),"",IF(($C39=(INDIRECT(G$2&amp;"!E"&amp;$T39))),(INDIRECT(G$2&amp;"!F"&amp;$T39)),0))</f>
        <v>34</v>
      </c>
      <c r="H39" s="42" cm="1">
        <f t="array" aca="1" ref="H39" ca="1">IF(ISBLANK($C39),"",IF(($C39=(INDIRECT(H$2&amp;"!E"&amp;$T39))),(INDIRECT(H$2&amp;"!F"&amp;$T39)),0))</f>
        <v>0</v>
      </c>
      <c r="I39" s="42" cm="1">
        <f t="array" aca="1" ref="I39" ca="1">IF(ISBLANK($C39),"",IF(($C39=(INDIRECT(I$2&amp;"!E"&amp;$T39))),(INDIRECT(I$2&amp;"!F"&amp;$T39)),0))</f>
        <v>22</v>
      </c>
      <c r="J39" s="42" cm="1">
        <f t="array" aca="1" ref="J39" ca="1">IF(ISBLANK($C39),"",IF(($C39=(INDIRECT(J$2&amp;"!E"&amp;$T39))),(INDIRECT(J$2&amp;"!F"&amp;$T39)),0))</f>
        <v>34</v>
      </c>
      <c r="K39" s="42" cm="1">
        <f t="array" aca="1" ref="K39" ca="1">IF(ISBLANK($C39),"",IF(($C39=(INDIRECT(K$2&amp;"!E"&amp;$T39))),(INDIRECT(K$2&amp;"!F"&amp;$T39)),0))</f>
        <v>36</v>
      </c>
      <c r="L39" s="42" cm="1">
        <f t="array" aca="1" ref="L39" ca="1">IF(ISBLANK($C39),"",IF(($C39=(INDIRECT(L$2&amp;"!E"&amp;$T39))),(INDIRECT(L$2&amp;"!F"&amp;$T39)),0))</f>
        <v>18</v>
      </c>
      <c r="M39" s="42" cm="1">
        <f t="array" aca="1" ref="M39" ca="1">IF(ISBLANK($C39),"",IF(($C39=(INDIRECT(M$2&amp;"!E"&amp;$T39))),(INDIRECT(M$2&amp;"!F"&amp;$T39)),0))</f>
        <v>20</v>
      </c>
      <c r="N39" s="42" cm="1">
        <f t="array" aca="1" ref="N39" ca="1">IF(ISBLANK($C39),"",IF(($C39=(INDIRECT(N$2&amp;"!E"&amp;$T39))),(INDIRECT(N$2&amp;"!F"&amp;$T39)),0))</f>
        <v>28</v>
      </c>
      <c r="O39" s="42" cm="1">
        <f t="array" aca="1" ref="O39" ca="1">IF(ISBLANK($C39),"",IF(($C39=(INDIRECT(O$2&amp;"!E"&amp;$T39))),(INDIRECT(O$2&amp;"!F"&amp;$T39)),0))</f>
        <v>0</v>
      </c>
      <c r="P39" s="42" cm="1">
        <f t="array" aca="1" ref="P39" ca="1">IF(ISBLANK($C39),"",IF(($C39=(INDIRECT(P$2&amp;"!E"&amp;$T39))),(INDIRECT(P$2&amp;"!F"&amp;$T39)),0))</f>
        <v>13</v>
      </c>
      <c r="Q39" s="42" cm="1">
        <f t="array" aca="1" ref="Q39" ca="1">IF(ISBLANK($C39),"",IF(($C39=(INDIRECT(Q$2&amp;"!E"&amp;$T39))),(INDIRECT(Q$2&amp;"!F"&amp;$T39)),0))</f>
        <v>37</v>
      </c>
      <c r="R39" s="42" cm="1">
        <f t="array" aca="1" ref="R39" ca="1">IF(ISBLANK($C39),"",IF(($C39=(INDIRECT(R$2&amp;"!E"&amp;$T39))),(INDIRECT(R$2&amp;"!F"&amp;$T39)),0))</f>
        <v>0</v>
      </c>
      <c r="S39" s="43" cm="1">
        <f t="array" aca="1" ref="S39" ca="1">IF(ISBLANK($C39),"",IF(($C39=(INDIRECT(S$2&amp;"!E"&amp;$T39))),(INDIRECT(S$2&amp;"!F"&amp;$T39)),0))</f>
        <v>2</v>
      </c>
      <c r="T39" s="50">
        <f t="shared" si="8"/>
        <v>38</v>
      </c>
      <c r="U39" s="78">
        <f t="shared" ca="1" si="2"/>
        <v>11</v>
      </c>
      <c r="V39" s="80">
        <f t="shared" ca="1" si="3"/>
        <v>23.90909090909091</v>
      </c>
      <c r="W39" s="79" t="s">
        <v>110</v>
      </c>
      <c r="X39" s="86">
        <f t="shared" ca="1" si="4"/>
        <v>4</v>
      </c>
      <c r="Y39" s="87">
        <f t="shared" ca="1" si="5"/>
        <v>9</v>
      </c>
      <c r="Z39" s="79" t="s">
        <v>110</v>
      </c>
      <c r="AA39" cm="1">
        <f t="array" aca="1" ref="AA39" ca="1">IF(ISBLANK($C39),"",IF(E39=0,INDIRECT(E$2&amp;"!F"&amp;$T39),""))</f>
        <v>10</v>
      </c>
      <c r="AB39" t="str" cm="1">
        <f t="array" aca="1" ref="AB39" ca="1">IF(ISBLANK($C39),"",IF(F39=0,INDIRECT(F$2&amp;"!F"&amp;$T39),""))</f>
        <v/>
      </c>
      <c r="AC39" t="str" cm="1">
        <f t="array" aca="1" ref="AC39" ca="1">IF(ISBLANK($C39),"",IF(G39=0,INDIRECT(G$2&amp;"!F"&amp;$T39),""))</f>
        <v/>
      </c>
      <c r="AD39" cm="1">
        <f t="array" aca="1" ref="AD39" ca="1">IF(ISBLANK($C39),"",IF(H39=0,INDIRECT(H$2&amp;"!F"&amp;$T39),""))</f>
        <v>3</v>
      </c>
      <c r="AE39" t="str" cm="1">
        <f t="array" aca="1" ref="AE39" ca="1">IF(ISBLANK($C39),"",IF(I39=0,INDIRECT(I$2&amp;"!F"&amp;$T39),""))</f>
        <v/>
      </c>
      <c r="AF39" t="str" cm="1">
        <f t="array" aca="1" ref="AF39" ca="1">IF(ISBLANK($C39),"",IF(J39=0,INDIRECT(J$2&amp;"!F"&amp;$T39),""))</f>
        <v/>
      </c>
      <c r="AG39" t="str" cm="1">
        <f t="array" aca="1" ref="AG39" ca="1">IF(ISBLANK($C39),"",IF(K39=0,INDIRECT(K$2&amp;"!F"&amp;$T39),""))</f>
        <v/>
      </c>
      <c r="AH39" t="str" cm="1">
        <f t="array" aca="1" ref="AH39" ca="1">IF(ISBLANK($C39),"",IF(L39=0,INDIRECT(L$2&amp;"!F"&amp;$T39),""))</f>
        <v/>
      </c>
      <c r="AI39" t="str" cm="1">
        <f t="array" aca="1" ref="AI39" ca="1">IF(ISBLANK($C39),"",IF(M39=0,INDIRECT(M$2&amp;"!F"&amp;$T39),""))</f>
        <v/>
      </c>
      <c r="AJ39" t="str" cm="1">
        <f t="array" aca="1" ref="AJ39" ca="1">IF(ISBLANK($C39),"",IF(N39=0,INDIRECT(N$2&amp;"!F"&amp;$T39),""))</f>
        <v/>
      </c>
      <c r="AK39" cm="1">
        <f t="array" aca="1" ref="AK39" ca="1">IF(ISBLANK($C39),"",IF(O39=0,INDIRECT(O$2&amp;"!F"&amp;$T39),""))</f>
        <v>1</v>
      </c>
      <c r="AL39" t="str" cm="1">
        <f t="array" aca="1" ref="AL39" ca="1">IF(ISBLANK($C39),"",IF(P39=0,INDIRECT(P$2&amp;"!F"&amp;$T39),""))</f>
        <v/>
      </c>
      <c r="AM39" t="str" cm="1">
        <f t="array" aca="1" ref="AM39" ca="1">IF(ISBLANK($C39),"",IF(Q39=0,INDIRECT(Q$2&amp;"!F"&amp;$T39),""))</f>
        <v/>
      </c>
      <c r="AN39" cm="1">
        <f t="array" aca="1" ref="AN39" ca="1">IF(ISBLANK($C39),"",IF(R39=0,INDIRECT(R$2&amp;"!F"&amp;$T39),""))</f>
        <v>22</v>
      </c>
      <c r="AO39" t="str" cm="1">
        <f t="array" aca="1" ref="AO39" ca="1">IF(ISBLANK($C39),"",IF(S39=0,INDIRECT(S$2&amp;"!F"&amp;$T39),""))</f>
        <v/>
      </c>
      <c r="AP39">
        <f t="shared" ca="1" si="6"/>
        <v>4</v>
      </c>
      <c r="AQ39">
        <f t="shared" ca="1" si="7"/>
        <v>15</v>
      </c>
    </row>
    <row r="40" spans="1:43" ht="15.5" x14ac:dyDescent="0.35">
      <c r="A40" s="28">
        <v>43467</v>
      </c>
      <c r="B40" s="29" t="s">
        <v>113</v>
      </c>
      <c r="C40" s="29" t="s">
        <v>115</v>
      </c>
      <c r="D40" s="39"/>
      <c r="E40" s="41" cm="1">
        <f t="array" aca="1" ref="E40" ca="1">IF(ISBLANK($C40),"",IF(($C40=(INDIRECT(E$2&amp;"!E"&amp;$T40))),(INDIRECT(E$2&amp;"!F"&amp;$T40)),0))</f>
        <v>40</v>
      </c>
      <c r="F40" s="42" cm="1">
        <f t="array" aca="1" ref="F40" ca="1">IF(ISBLANK($C40),"",IF(($C40=(INDIRECT(F$2&amp;"!E"&amp;$T40))),(INDIRECT(F$2&amp;"!F"&amp;$T40)),0))</f>
        <v>33</v>
      </c>
      <c r="G40" s="42" cm="1">
        <f t="array" aca="1" ref="G40" ca="1">IF(ISBLANK($C40),"",IF(($C40=(INDIRECT(G$2&amp;"!E"&amp;$T40))),(INDIRECT(G$2&amp;"!F"&amp;$T40)),0))</f>
        <v>21</v>
      </c>
      <c r="H40" s="42" cm="1">
        <f t="array" aca="1" ref="H40" ca="1">IF(ISBLANK($C40),"",IF(($C40=(INDIRECT(H$2&amp;"!E"&amp;$T40))),(INDIRECT(H$2&amp;"!F"&amp;$T40)),0))</f>
        <v>0</v>
      </c>
      <c r="I40" s="42" cm="1">
        <f t="array" aca="1" ref="I40" ca="1">IF(ISBLANK($C40),"",IF(($C40=(INDIRECT(I$2&amp;"!E"&amp;$T40))),(INDIRECT(I$2&amp;"!F"&amp;$T40)),0))</f>
        <v>39</v>
      </c>
      <c r="J40" s="42" cm="1">
        <f t="array" aca="1" ref="J40" ca="1">IF(ISBLANK($C40),"",IF(($C40=(INDIRECT(J$2&amp;"!E"&amp;$T40))),(INDIRECT(J$2&amp;"!F"&amp;$T40)),0))</f>
        <v>26</v>
      </c>
      <c r="K40" s="42" cm="1">
        <f t="array" aca="1" ref="K40" ca="1">IF(ISBLANK($C40),"",IF(($C40=(INDIRECT(K$2&amp;"!E"&amp;$T40))),(INDIRECT(K$2&amp;"!F"&amp;$T40)),0))</f>
        <v>25</v>
      </c>
      <c r="L40" s="42" cm="1">
        <f t="array" aca="1" ref="L40" ca="1">IF(ISBLANK($C40),"",IF(($C40=(INDIRECT(L$2&amp;"!E"&amp;$T40))),(INDIRECT(L$2&amp;"!F"&amp;$T40)),0))</f>
        <v>35</v>
      </c>
      <c r="M40" s="42" cm="1">
        <f t="array" aca="1" ref="M40" ca="1">IF(ISBLANK($C40),"",IF(($C40=(INDIRECT(M$2&amp;"!E"&amp;$T40))),(INDIRECT(M$2&amp;"!F"&amp;$T40)),0))</f>
        <v>34</v>
      </c>
      <c r="N40" s="42" cm="1">
        <f t="array" aca="1" ref="N40" ca="1">IF(ISBLANK($C40),"",IF(($C40=(INDIRECT(N$2&amp;"!E"&amp;$T40))),(INDIRECT(N$2&amp;"!F"&amp;$T40)),0))</f>
        <v>26</v>
      </c>
      <c r="O40" s="42" cm="1">
        <f t="array" aca="1" ref="O40" ca="1">IF(ISBLANK($C40),"",IF(($C40=(INDIRECT(O$2&amp;"!E"&amp;$T40))),(INDIRECT(O$2&amp;"!F"&amp;$T40)),0))</f>
        <v>16</v>
      </c>
      <c r="P40" s="42" cm="1">
        <f t="array" aca="1" ref="P40" ca="1">IF(ISBLANK($C40),"",IF(($C40=(INDIRECT(P$2&amp;"!E"&amp;$T40))),(INDIRECT(P$2&amp;"!F"&amp;$T40)),0))</f>
        <v>14</v>
      </c>
      <c r="Q40" s="42" cm="1">
        <f t="array" aca="1" ref="Q40" ca="1">IF(ISBLANK($C40),"",IF(($C40=(INDIRECT(Q$2&amp;"!E"&amp;$T40))),(INDIRECT(Q$2&amp;"!F"&amp;$T40)),0))</f>
        <v>36</v>
      </c>
      <c r="R40" s="42" cm="1">
        <f t="array" aca="1" ref="R40" ca="1">IF(ISBLANK($C40),"",IF(($C40=(INDIRECT(R$2&amp;"!E"&amp;$T40))),(INDIRECT(R$2&amp;"!F"&amp;$T40)),0))</f>
        <v>29</v>
      </c>
      <c r="S40" s="43" cm="1">
        <f t="array" aca="1" ref="S40" ca="1">IF(ISBLANK($C40),"",IF(($C40=(INDIRECT(S$2&amp;"!E"&amp;$T40))),(INDIRECT(S$2&amp;"!F"&amp;$T40)),0))</f>
        <v>33</v>
      </c>
      <c r="T40" s="50">
        <f t="shared" si="8"/>
        <v>39</v>
      </c>
      <c r="U40" s="78">
        <f t="shared" ca="1" si="2"/>
        <v>14</v>
      </c>
      <c r="V40" s="80">
        <f t="shared" ca="1" si="3"/>
        <v>29.071428571428573</v>
      </c>
      <c r="W40" s="79" t="s">
        <v>113</v>
      </c>
      <c r="X40" s="86">
        <f t="shared" ca="1" si="4"/>
        <v>1</v>
      </c>
      <c r="Y40" s="87">
        <f t="shared" ca="1" si="5"/>
        <v>4</v>
      </c>
      <c r="Z40" s="79" t="s">
        <v>113</v>
      </c>
      <c r="AA40" t="str" cm="1">
        <f t="array" aca="1" ref="AA40" ca="1">IF(ISBLANK($C40),"",IF(E40=0,INDIRECT(E$2&amp;"!F"&amp;$T40),""))</f>
        <v/>
      </c>
      <c r="AB40" t="str" cm="1">
        <f t="array" aca="1" ref="AB40" ca="1">IF(ISBLANK($C40),"",IF(F40=0,INDIRECT(F$2&amp;"!F"&amp;$T40),""))</f>
        <v/>
      </c>
      <c r="AC40" t="str" cm="1">
        <f t="array" aca="1" ref="AC40" ca="1">IF(ISBLANK($C40),"",IF(G40=0,INDIRECT(G$2&amp;"!F"&amp;$T40),""))</f>
        <v/>
      </c>
      <c r="AD40" cm="1">
        <f t="array" aca="1" ref="AD40" ca="1">IF(ISBLANK($C40),"",IF(H40=0,INDIRECT(H$2&amp;"!F"&amp;$T40),""))</f>
        <v>4</v>
      </c>
      <c r="AE40" t="str" cm="1">
        <f t="array" aca="1" ref="AE40" ca="1">IF(ISBLANK($C40),"",IF(I40=0,INDIRECT(I$2&amp;"!F"&amp;$T40),""))</f>
        <v/>
      </c>
      <c r="AF40" t="str" cm="1">
        <f t="array" aca="1" ref="AF40" ca="1">IF(ISBLANK($C40),"",IF(J40=0,INDIRECT(J$2&amp;"!F"&amp;$T40),""))</f>
        <v/>
      </c>
      <c r="AG40" t="str" cm="1">
        <f t="array" aca="1" ref="AG40" ca="1">IF(ISBLANK($C40),"",IF(K40=0,INDIRECT(K$2&amp;"!F"&amp;$T40),""))</f>
        <v/>
      </c>
      <c r="AH40" t="str" cm="1">
        <f t="array" aca="1" ref="AH40" ca="1">IF(ISBLANK($C40),"",IF(L40=0,INDIRECT(L$2&amp;"!F"&amp;$T40),""))</f>
        <v/>
      </c>
      <c r="AI40" t="str" cm="1">
        <f t="array" aca="1" ref="AI40" ca="1">IF(ISBLANK($C40),"",IF(M40=0,INDIRECT(M$2&amp;"!F"&amp;$T40),""))</f>
        <v/>
      </c>
      <c r="AJ40" t="str" cm="1">
        <f t="array" aca="1" ref="AJ40" ca="1">IF(ISBLANK($C40),"",IF(N40=0,INDIRECT(N$2&amp;"!F"&amp;$T40),""))</f>
        <v/>
      </c>
      <c r="AK40" t="str" cm="1">
        <f t="array" aca="1" ref="AK40" ca="1">IF(ISBLANK($C40),"",IF(O40=0,INDIRECT(O$2&amp;"!F"&amp;$T40),""))</f>
        <v/>
      </c>
      <c r="AL40" t="str" cm="1">
        <f t="array" aca="1" ref="AL40" ca="1">IF(ISBLANK($C40),"",IF(P40=0,INDIRECT(P$2&amp;"!F"&amp;$T40),""))</f>
        <v/>
      </c>
      <c r="AM40" t="str" cm="1">
        <f t="array" aca="1" ref="AM40" ca="1">IF(ISBLANK($C40),"",IF(Q40=0,INDIRECT(Q$2&amp;"!F"&amp;$T40),""))</f>
        <v/>
      </c>
      <c r="AN40" t="str" cm="1">
        <f t="array" aca="1" ref="AN40" ca="1">IF(ISBLANK($C40),"",IF(R40=0,INDIRECT(R$2&amp;"!F"&amp;$T40),""))</f>
        <v/>
      </c>
      <c r="AO40" t="str" cm="1">
        <f t="array" aca="1" ref="AO40" ca="1">IF(ISBLANK($C40),"",IF(S40=0,INDIRECT(S$2&amp;"!F"&amp;$T40),""))</f>
        <v/>
      </c>
      <c r="AP40">
        <f t="shared" ca="1" si="6"/>
        <v>1</v>
      </c>
      <c r="AQ40">
        <f t="shared" ca="1" si="7"/>
        <v>15</v>
      </c>
    </row>
    <row r="41" spans="1:43" ht="15.5" x14ac:dyDescent="0.35">
      <c r="A41" s="28">
        <v>43467</v>
      </c>
      <c r="B41" s="29" t="s">
        <v>116</v>
      </c>
      <c r="C41" s="29" t="s">
        <v>117</v>
      </c>
      <c r="D41" s="39"/>
      <c r="E41" s="41" cm="1">
        <f t="array" aca="1" ref="E41" ca="1">IF(ISBLANK($C41),"",IF(($C41=(INDIRECT(E$2&amp;"!E"&amp;$T41))),(INDIRECT(E$2&amp;"!F"&amp;$T41)),0))</f>
        <v>11</v>
      </c>
      <c r="F41" s="42" cm="1">
        <f t="array" aca="1" ref="F41" ca="1">IF(ISBLANK($C41),"",IF(($C41=(INDIRECT(F$2&amp;"!E"&amp;$T41))),(INDIRECT(F$2&amp;"!F"&amp;$T41)),0))</f>
        <v>2</v>
      </c>
      <c r="G41" s="42" cm="1">
        <f t="array" aca="1" ref="G41" ca="1">IF(ISBLANK($C41),"",IF(($C41=(INDIRECT(G$2&amp;"!E"&amp;$T41))),(INDIRECT(G$2&amp;"!F"&amp;$T41)),0))</f>
        <v>23</v>
      </c>
      <c r="H41" s="42" cm="1">
        <f t="array" aca="1" ref="H41" ca="1">IF(ISBLANK($C41),"",IF(($C41=(INDIRECT(H$2&amp;"!E"&amp;$T41))),(INDIRECT(H$2&amp;"!F"&amp;$T41)),0))</f>
        <v>0</v>
      </c>
      <c r="I41" s="42" cm="1">
        <f t="array" aca="1" ref="I41" ca="1">IF(ISBLANK($C41),"",IF(($C41=(INDIRECT(I$2&amp;"!E"&amp;$T41))),(INDIRECT(I$2&amp;"!F"&amp;$T41)),0))</f>
        <v>24</v>
      </c>
      <c r="J41" s="42" cm="1">
        <f t="array" aca="1" ref="J41" ca="1">IF(ISBLANK($C41),"",IF(($C41=(INDIRECT(J$2&amp;"!E"&amp;$T41))),(INDIRECT(J$2&amp;"!F"&amp;$T41)),0))</f>
        <v>30</v>
      </c>
      <c r="K41" s="42" cm="1">
        <f t="array" aca="1" ref="K41" ca="1">IF(ISBLANK($C41),"",IF(($C41=(INDIRECT(K$2&amp;"!E"&amp;$T41))),(INDIRECT(K$2&amp;"!F"&amp;$T41)),0))</f>
        <v>0</v>
      </c>
      <c r="L41" s="42" cm="1">
        <f t="array" aca="1" ref="L41" ca="1">IF(ISBLANK($C41),"",IF(($C41=(INDIRECT(L$2&amp;"!E"&amp;$T41))),(INDIRECT(L$2&amp;"!F"&amp;$T41)),0))</f>
        <v>11</v>
      </c>
      <c r="M41" s="42" cm="1">
        <f t="array" aca="1" ref="M41" ca="1">IF(ISBLANK($C41),"",IF(($C41=(INDIRECT(M$2&amp;"!E"&amp;$T41))),(INDIRECT(M$2&amp;"!F"&amp;$T41)),0))</f>
        <v>15</v>
      </c>
      <c r="N41" s="42" cm="1">
        <f t="array" aca="1" ref="N41" ca="1">IF(ISBLANK($C41),"",IF(($C41=(INDIRECT(N$2&amp;"!E"&amp;$T41))),(INDIRECT(N$2&amp;"!F"&amp;$T41)),0))</f>
        <v>0</v>
      </c>
      <c r="O41" s="42" cm="1">
        <f t="array" aca="1" ref="O41" ca="1">IF(ISBLANK($C41),"",IF(($C41=(INDIRECT(O$2&amp;"!E"&amp;$T41))),(INDIRECT(O$2&amp;"!F"&amp;$T41)),0))</f>
        <v>17</v>
      </c>
      <c r="P41" s="42" cm="1">
        <f t="array" aca="1" ref="P41" ca="1">IF(ISBLANK($C41),"",IF(($C41=(INDIRECT(P$2&amp;"!E"&amp;$T41))),(INDIRECT(P$2&amp;"!F"&amp;$T41)),0))</f>
        <v>15</v>
      </c>
      <c r="Q41" s="42" cm="1">
        <f t="array" aca="1" ref="Q41" ca="1">IF(ISBLANK($C41),"",IF(($C41=(INDIRECT(Q$2&amp;"!E"&amp;$T41))),(INDIRECT(Q$2&amp;"!F"&amp;$T41)),0))</f>
        <v>0</v>
      </c>
      <c r="R41" s="42" cm="1">
        <f t="array" aca="1" ref="R41" ca="1">IF(ISBLANK($C41),"",IF(($C41=(INDIRECT(R$2&amp;"!E"&amp;$T41))),(INDIRECT(R$2&amp;"!F"&amp;$T41)),0))</f>
        <v>23</v>
      </c>
      <c r="S41" s="43" cm="1">
        <f t="array" aca="1" ref="S41" ca="1">IF(ISBLANK($C41),"",IF(($C41=(INDIRECT(S$2&amp;"!E"&amp;$T41))),(INDIRECT(S$2&amp;"!F"&amp;$T41)),0))</f>
        <v>0</v>
      </c>
      <c r="T41" s="50">
        <f t="shared" si="8"/>
        <v>40</v>
      </c>
      <c r="U41" s="78">
        <f t="shared" ca="1" si="2"/>
        <v>10</v>
      </c>
      <c r="V41" s="80">
        <f t="shared" ca="1" si="3"/>
        <v>17.100000000000001</v>
      </c>
      <c r="W41" s="79" t="s">
        <v>116</v>
      </c>
      <c r="X41" s="86">
        <f t="shared" ca="1" si="4"/>
        <v>5</v>
      </c>
      <c r="Y41" s="87">
        <f t="shared" ca="1" si="5"/>
        <v>22.4</v>
      </c>
      <c r="Z41" s="79" t="s">
        <v>116</v>
      </c>
      <c r="AA41" t="str" cm="1">
        <f t="array" aca="1" ref="AA41" ca="1">IF(ISBLANK($C41),"",IF(E41=0,INDIRECT(E$2&amp;"!F"&amp;$T41),""))</f>
        <v/>
      </c>
      <c r="AB41" t="str" cm="1">
        <f t="array" aca="1" ref="AB41" ca="1">IF(ISBLANK($C41),"",IF(F41=0,INDIRECT(F$2&amp;"!F"&amp;$T41),""))</f>
        <v/>
      </c>
      <c r="AC41" t="str" cm="1">
        <f t="array" aca="1" ref="AC41" ca="1">IF(ISBLANK($C41),"",IF(G41=0,INDIRECT(G$2&amp;"!F"&amp;$T41),""))</f>
        <v/>
      </c>
      <c r="AD41" cm="1">
        <f t="array" aca="1" ref="AD41" ca="1">IF(ISBLANK($C41),"",IF(H41=0,INDIRECT(H$2&amp;"!F"&amp;$T41),""))</f>
        <v>5</v>
      </c>
      <c r="AE41" t="str" cm="1">
        <f t="array" aca="1" ref="AE41" ca="1">IF(ISBLANK($C41),"",IF(I41=0,INDIRECT(I$2&amp;"!F"&amp;$T41),""))</f>
        <v/>
      </c>
      <c r="AF41" t="str" cm="1">
        <f t="array" aca="1" ref="AF41" ca="1">IF(ISBLANK($C41),"",IF(J41=0,INDIRECT(J$2&amp;"!F"&amp;$T41),""))</f>
        <v/>
      </c>
      <c r="AG41" cm="1">
        <f t="array" aca="1" ref="AG41" ca="1">IF(ISBLANK($C41),"",IF(K41=0,INDIRECT(K$2&amp;"!F"&amp;$T41),""))</f>
        <v>26</v>
      </c>
      <c r="AH41" t="str" cm="1">
        <f t="array" aca="1" ref="AH41" ca="1">IF(ISBLANK($C41),"",IF(L41=0,INDIRECT(L$2&amp;"!F"&amp;$T41),""))</f>
        <v/>
      </c>
      <c r="AI41" t="str" cm="1">
        <f t="array" aca="1" ref="AI41" ca="1">IF(ISBLANK($C41),"",IF(M41=0,INDIRECT(M$2&amp;"!F"&amp;$T41),""))</f>
        <v/>
      </c>
      <c r="AJ41" cm="1">
        <f t="array" aca="1" ref="AJ41" ca="1">IF(ISBLANK($C41),"",IF(N41=0,INDIRECT(N$2&amp;"!F"&amp;$T41),""))</f>
        <v>23</v>
      </c>
      <c r="AK41" t="str" cm="1">
        <f t="array" aca="1" ref="AK41" ca="1">IF(ISBLANK($C41),"",IF(O41=0,INDIRECT(O$2&amp;"!F"&amp;$T41),""))</f>
        <v/>
      </c>
      <c r="AL41" t="str" cm="1">
        <f t="array" aca="1" ref="AL41" ca="1">IF(ISBLANK($C41),"",IF(P41=0,INDIRECT(P$2&amp;"!F"&amp;$T41),""))</f>
        <v/>
      </c>
      <c r="AM41" cm="1">
        <f t="array" aca="1" ref="AM41" ca="1">IF(ISBLANK($C41),"",IF(Q41=0,INDIRECT(Q$2&amp;"!F"&amp;$T41),""))</f>
        <v>23</v>
      </c>
      <c r="AN41" t="str" cm="1">
        <f t="array" aca="1" ref="AN41" ca="1">IF(ISBLANK($C41),"",IF(R41=0,INDIRECT(R$2&amp;"!F"&amp;$T41),""))</f>
        <v/>
      </c>
      <c r="AO41" cm="1">
        <f t="array" aca="1" ref="AO41" ca="1">IF(ISBLANK($C41),"",IF(S41=0,INDIRECT(S$2&amp;"!F"&amp;$T41),""))</f>
        <v>35</v>
      </c>
      <c r="AP41">
        <f t="shared" ca="1" si="6"/>
        <v>5</v>
      </c>
      <c r="AQ41">
        <f t="shared" ca="1" si="7"/>
        <v>15</v>
      </c>
    </row>
    <row r="42" spans="1:43" ht="15.5" x14ac:dyDescent="0.35">
      <c r="A42" s="28">
        <v>43468</v>
      </c>
      <c r="B42" s="29" t="s">
        <v>119</v>
      </c>
      <c r="C42" s="29" t="s">
        <v>120</v>
      </c>
      <c r="D42" s="39"/>
      <c r="E42" s="41" cm="1">
        <f t="array" aca="1" ref="E42" ca="1">IF(ISBLANK($C42),"",IF(($C42=(INDIRECT(E$2&amp;"!E"&amp;$T42))),(INDIRECT(E$2&amp;"!F"&amp;$T42)),0))</f>
        <v>17</v>
      </c>
      <c r="F42" s="42" cm="1">
        <f t="array" aca="1" ref="F42" ca="1">IF(ISBLANK($C42),"",IF(($C42=(INDIRECT(F$2&amp;"!E"&amp;$T42))),(INDIRECT(F$2&amp;"!F"&amp;$T42)),0))</f>
        <v>30</v>
      </c>
      <c r="G42" s="42" cm="1">
        <f t="array" aca="1" ref="G42" ca="1">IF(ISBLANK($C42),"",IF(($C42=(INDIRECT(G$2&amp;"!E"&amp;$T42))),(INDIRECT(G$2&amp;"!F"&amp;$T42)),0))</f>
        <v>20</v>
      </c>
      <c r="H42" s="42" cm="1">
        <f t="array" aca="1" ref="H42" ca="1">IF(ISBLANK($C42),"",IF(($C42=(INDIRECT(H$2&amp;"!E"&amp;$T42))),(INDIRECT(H$2&amp;"!F"&amp;$T42)),0))</f>
        <v>6</v>
      </c>
      <c r="I42" s="42" cm="1">
        <f t="array" aca="1" ref="I42" ca="1">IF(ISBLANK($C42),"",IF(($C42=(INDIRECT(I$2&amp;"!E"&amp;$T42))),(INDIRECT(I$2&amp;"!F"&amp;$T42)),0))</f>
        <v>16</v>
      </c>
      <c r="J42" s="42" cm="1">
        <f t="array" aca="1" ref="J42" ca="1">IF(ISBLANK($C42),"",IF(($C42=(INDIRECT(J$2&amp;"!E"&amp;$T42))),(INDIRECT(J$2&amp;"!F"&amp;$T42)),0))</f>
        <v>0</v>
      </c>
      <c r="K42" s="42" cm="1">
        <f t="array" aca="1" ref="K42" ca="1">IF(ISBLANK($C42),"",IF(($C42=(INDIRECT(K$2&amp;"!E"&amp;$T42))),(INDIRECT(K$2&amp;"!F"&amp;$T42)),0))</f>
        <v>7</v>
      </c>
      <c r="L42" s="42" cm="1">
        <f t="array" aca="1" ref="L42" ca="1">IF(ISBLANK($C42),"",IF(($C42=(INDIRECT(L$2&amp;"!E"&amp;$T42))),(INDIRECT(L$2&amp;"!F"&amp;$T42)),0))</f>
        <v>23</v>
      </c>
      <c r="M42" s="42" cm="1">
        <f t="array" aca="1" ref="M42" ca="1">IF(ISBLANK($C42),"",IF(($C42=(INDIRECT(M$2&amp;"!E"&amp;$T42))),(INDIRECT(M$2&amp;"!F"&amp;$T42)),0))</f>
        <v>0</v>
      </c>
      <c r="N42" s="42" cm="1">
        <f t="array" aca="1" ref="N42" ca="1">IF(ISBLANK($C42),"",IF(($C42=(INDIRECT(N$2&amp;"!E"&amp;$T42))),(INDIRECT(N$2&amp;"!F"&amp;$T42)),0))</f>
        <v>24</v>
      </c>
      <c r="O42" s="42" cm="1">
        <f t="array" aca="1" ref="O42" ca="1">IF(ISBLANK($C42),"",IF(($C42=(INDIRECT(O$2&amp;"!E"&amp;$T42))),(INDIRECT(O$2&amp;"!F"&amp;$T42)),0))</f>
        <v>0</v>
      </c>
      <c r="P42" s="42" cm="1">
        <f t="array" aca="1" ref="P42" ca="1">IF(ISBLANK($C42),"",IF(($C42=(INDIRECT(P$2&amp;"!E"&amp;$T42))),(INDIRECT(P$2&amp;"!F"&amp;$T42)),0))</f>
        <v>0</v>
      </c>
      <c r="Q42" s="42" cm="1">
        <f t="array" aca="1" ref="Q42" ca="1">IF(ISBLANK($C42),"",IF(($C42=(INDIRECT(Q$2&amp;"!E"&amp;$T42))),(INDIRECT(Q$2&amp;"!F"&amp;$T42)),0))</f>
        <v>31</v>
      </c>
      <c r="R42" s="42" cm="1">
        <f t="array" aca="1" ref="R42" ca="1">IF(ISBLANK($C42),"",IF(($C42=(INDIRECT(R$2&amp;"!E"&amp;$T42))),(INDIRECT(R$2&amp;"!F"&amp;$T42)),0))</f>
        <v>17</v>
      </c>
      <c r="S42" s="43" cm="1">
        <f t="array" aca="1" ref="S42" ca="1">IF(ISBLANK($C42),"",IF(($C42=(INDIRECT(S$2&amp;"!E"&amp;$T42))),(INDIRECT(S$2&amp;"!F"&amp;$T42)),0))</f>
        <v>0</v>
      </c>
      <c r="T42" s="50">
        <f t="shared" si="8"/>
        <v>41</v>
      </c>
      <c r="U42" s="78">
        <f t="shared" ca="1" si="2"/>
        <v>10</v>
      </c>
      <c r="V42" s="80">
        <f t="shared" ca="1" si="3"/>
        <v>19.100000000000001</v>
      </c>
      <c r="W42" s="79" t="s">
        <v>119</v>
      </c>
      <c r="X42" s="86">
        <f t="shared" ca="1" si="4"/>
        <v>5</v>
      </c>
      <c r="Y42" s="87">
        <f t="shared" ca="1" si="5"/>
        <v>24.2</v>
      </c>
      <c r="Z42" s="79" t="s">
        <v>119</v>
      </c>
      <c r="AA42" t="str" cm="1">
        <f t="array" aca="1" ref="AA42" ca="1">IF(ISBLANK($C42),"",IF(E42=0,INDIRECT(E$2&amp;"!F"&amp;$T42),""))</f>
        <v/>
      </c>
      <c r="AB42" t="str" cm="1">
        <f t="array" aca="1" ref="AB42" ca="1">IF(ISBLANK($C42),"",IF(F42=0,INDIRECT(F$2&amp;"!F"&amp;$T42),""))</f>
        <v/>
      </c>
      <c r="AC42" t="str" cm="1">
        <f t="array" aca="1" ref="AC42" ca="1">IF(ISBLANK($C42),"",IF(G42=0,INDIRECT(G$2&amp;"!F"&amp;$T42),""))</f>
        <v/>
      </c>
      <c r="AD42" t="str" cm="1">
        <f t="array" aca="1" ref="AD42" ca="1">IF(ISBLANK($C42),"",IF(H42=0,INDIRECT(H$2&amp;"!F"&amp;$T42),""))</f>
        <v/>
      </c>
      <c r="AE42" t="str" cm="1">
        <f t="array" aca="1" ref="AE42" ca="1">IF(ISBLANK($C42),"",IF(I42=0,INDIRECT(I$2&amp;"!F"&amp;$T42),""))</f>
        <v/>
      </c>
      <c r="AF42" cm="1">
        <f t="array" aca="1" ref="AF42" ca="1">IF(ISBLANK($C42),"",IF(J42=0,INDIRECT(J$2&amp;"!F"&amp;$T42),""))</f>
        <v>23</v>
      </c>
      <c r="AG42" t="str" cm="1">
        <f t="array" aca="1" ref="AG42" ca="1">IF(ISBLANK($C42),"",IF(K42=0,INDIRECT(K$2&amp;"!F"&amp;$T42),""))</f>
        <v/>
      </c>
      <c r="AH42" t="str" cm="1">
        <f t="array" aca="1" ref="AH42" ca="1">IF(ISBLANK($C42),"",IF(L42=0,INDIRECT(L$2&amp;"!F"&amp;$T42),""))</f>
        <v/>
      </c>
      <c r="AI42" cm="1">
        <f t="array" aca="1" ref="AI42" ca="1">IF(ISBLANK($C42),"",IF(M42=0,INDIRECT(M$2&amp;"!F"&amp;$T42),""))</f>
        <v>28</v>
      </c>
      <c r="AJ42" t="str" cm="1">
        <f t="array" aca="1" ref="AJ42" ca="1">IF(ISBLANK($C42),"",IF(N42=0,INDIRECT(N$2&amp;"!F"&amp;$T42),""))</f>
        <v/>
      </c>
      <c r="AK42" cm="1">
        <f t="array" aca="1" ref="AK42" ca="1">IF(ISBLANK($C42),"",IF(O42=0,INDIRECT(O$2&amp;"!F"&amp;$T42),""))</f>
        <v>27</v>
      </c>
      <c r="AL42" cm="1">
        <f t="array" aca="1" ref="AL42" ca="1">IF(ISBLANK($C42),"",IF(P42=0,INDIRECT(P$2&amp;"!F"&amp;$T42),""))</f>
        <v>16</v>
      </c>
      <c r="AM42" t="str" cm="1">
        <f t="array" aca="1" ref="AM42" ca="1">IF(ISBLANK($C42),"",IF(Q42=0,INDIRECT(Q$2&amp;"!F"&amp;$T42),""))</f>
        <v/>
      </c>
      <c r="AN42" t="str" cm="1">
        <f t="array" aca="1" ref="AN42" ca="1">IF(ISBLANK($C42),"",IF(R42=0,INDIRECT(R$2&amp;"!F"&amp;$T42),""))</f>
        <v/>
      </c>
      <c r="AO42" cm="1">
        <f t="array" aca="1" ref="AO42" ca="1">IF(ISBLANK($C42),"",IF(S42=0,INDIRECT(S$2&amp;"!F"&amp;$T42),""))</f>
        <v>27</v>
      </c>
      <c r="AP42">
        <f t="shared" ca="1" si="6"/>
        <v>5</v>
      </c>
      <c r="AQ42">
        <f t="shared" ca="1" si="7"/>
        <v>15</v>
      </c>
    </row>
    <row r="43" spans="1:43" ht="15.5" x14ac:dyDescent="0.35">
      <c r="A43" s="28">
        <v>43469</v>
      </c>
      <c r="B43" s="29" t="s">
        <v>122</v>
      </c>
      <c r="C43" s="29" t="s">
        <v>123</v>
      </c>
      <c r="D43" s="39"/>
      <c r="E43" s="41" cm="1">
        <f t="array" aca="1" ref="E43" ca="1">IF(ISBLANK($C43),"",IF(($C43=(INDIRECT(E$2&amp;"!E"&amp;$T43))),(INDIRECT(E$2&amp;"!F"&amp;$T43)),0))</f>
        <v>13</v>
      </c>
      <c r="F43" s="42" cm="1">
        <f t="array" aca="1" ref="F43" ca="1">IF(ISBLANK($C43),"",IF(($C43=(INDIRECT(F$2&amp;"!E"&amp;$T43))),(INDIRECT(F$2&amp;"!F"&amp;$T43)),0))</f>
        <v>32</v>
      </c>
      <c r="G43" s="42" cm="1">
        <f t="array" aca="1" ref="G43" ca="1">IF(ISBLANK($C43),"",IF(($C43=(INDIRECT(G$2&amp;"!E"&amp;$T43))),(INDIRECT(G$2&amp;"!F"&amp;$T43)),0))</f>
        <v>24</v>
      </c>
      <c r="H43" s="42" cm="1">
        <f t="array" aca="1" ref="H43" ca="1">IF(ISBLANK($C43),"",IF(($C43=(INDIRECT(H$2&amp;"!E"&amp;$T43))),(INDIRECT(H$2&amp;"!F"&amp;$T43)),0))</f>
        <v>16</v>
      </c>
      <c r="I43" s="42" cm="1">
        <f t="array" aca="1" ref="I43" ca="1">IF(ISBLANK($C43),"",IF(($C43=(INDIRECT(I$2&amp;"!E"&amp;$T43))),(INDIRECT(I$2&amp;"!F"&amp;$T43)),0))</f>
        <v>0</v>
      </c>
      <c r="J43" s="42" cm="1">
        <f t="array" aca="1" ref="J43" ca="1">IF(ISBLANK($C43),"",IF(($C43=(INDIRECT(J$2&amp;"!E"&amp;$T43))),(INDIRECT(J$2&amp;"!F"&amp;$T43)),0))</f>
        <v>24</v>
      </c>
      <c r="K43" s="42" cm="1">
        <f t="array" aca="1" ref="K43" ca="1">IF(ISBLANK($C43),"",IF(($C43=(INDIRECT(K$2&amp;"!E"&amp;$T43))),(INDIRECT(K$2&amp;"!F"&amp;$T43)),0))</f>
        <v>0</v>
      </c>
      <c r="L43" s="42" cm="1">
        <f t="array" aca="1" ref="L43" ca="1">IF(ISBLANK($C43),"",IF(($C43=(INDIRECT(L$2&amp;"!E"&amp;$T43))),(INDIRECT(L$2&amp;"!F"&amp;$T43)),0))</f>
        <v>28</v>
      </c>
      <c r="M43" s="42" cm="1">
        <f t="array" aca="1" ref="M43" ca="1">IF(ISBLANK($C43),"",IF(($C43=(INDIRECT(M$2&amp;"!E"&amp;$T43))),(INDIRECT(M$2&amp;"!F"&amp;$T43)),0))</f>
        <v>31</v>
      </c>
      <c r="N43" s="42" cm="1">
        <f t="array" aca="1" ref="N43" ca="1">IF(ISBLANK($C43),"",IF(($C43=(INDIRECT(N$2&amp;"!E"&amp;$T43))),(INDIRECT(N$2&amp;"!F"&amp;$T43)),0))</f>
        <v>29</v>
      </c>
      <c r="O43" s="42" cm="1">
        <f t="array" aca="1" ref="O43" ca="1">IF(ISBLANK($C43),"",IF(($C43=(INDIRECT(O$2&amp;"!E"&amp;$T43))),(INDIRECT(O$2&amp;"!F"&amp;$T43)),0))</f>
        <v>0</v>
      </c>
      <c r="P43" s="42" cm="1">
        <f t="array" aca="1" ref="P43" ca="1">IF(ISBLANK($C43),"",IF(($C43=(INDIRECT(P$2&amp;"!E"&amp;$T43))),(INDIRECT(P$2&amp;"!F"&amp;$T43)),0))</f>
        <v>17</v>
      </c>
      <c r="Q43" s="42" cm="1">
        <f t="array" aca="1" ref="Q43" ca="1">IF(ISBLANK($C43),"",IF(($C43=(INDIRECT(Q$2&amp;"!E"&amp;$T43))),(INDIRECT(Q$2&amp;"!F"&amp;$T43)),0))</f>
        <v>3</v>
      </c>
      <c r="R43" s="42" cm="1">
        <f t="array" aca="1" ref="R43" ca="1">IF(ISBLANK($C43),"",IF(($C43=(INDIRECT(R$2&amp;"!E"&amp;$T43))),(INDIRECT(R$2&amp;"!F"&amp;$T43)),0))</f>
        <v>14</v>
      </c>
      <c r="S43" s="43" cm="1">
        <f t="array" aca="1" ref="S43" ca="1">IF(ISBLANK($C43),"",IF(($C43=(INDIRECT(S$2&amp;"!E"&amp;$T43))),(INDIRECT(S$2&amp;"!F"&amp;$T43)),0))</f>
        <v>0</v>
      </c>
      <c r="T43" s="50">
        <f t="shared" si="8"/>
        <v>42</v>
      </c>
      <c r="U43" s="78">
        <f t="shared" ref="U43:U69" ca="1" si="9">IF(ISBLANK(C43),"",COUNTIF(E43:S43,"&gt;0"))</f>
        <v>11</v>
      </c>
      <c r="V43" s="80">
        <f t="shared" ref="V43:V68" ca="1" si="10">IF(ISBLANK(C43),"",AVERAGEIF(E43:S43,"&gt;0"))</f>
        <v>21</v>
      </c>
      <c r="W43" s="79" t="s">
        <v>122</v>
      </c>
      <c r="X43" s="86">
        <f t="shared" ref="X43:X68" ca="1" si="11">IF(ISBLANK(C43),"",15-U43)</f>
        <v>4</v>
      </c>
      <c r="Y43" s="87">
        <f t="shared" ref="Y43:Y68" ca="1" si="12">IF(ISBLANK(C43),"",IF(U43&lt;15,AVERAGE(AA43:AO43),0))</f>
        <v>13.75</v>
      </c>
      <c r="Z43" s="79" t="s">
        <v>122</v>
      </c>
      <c r="AA43" t="str" cm="1">
        <f t="array" aca="1" ref="AA43" ca="1">IF(ISBLANK($C43),"",IF(E43=0,INDIRECT(E$2&amp;"!F"&amp;$T43),""))</f>
        <v/>
      </c>
      <c r="AB43" t="str" cm="1">
        <f t="array" aca="1" ref="AB43" ca="1">IF(ISBLANK($C43),"",IF(F43=0,INDIRECT(F$2&amp;"!F"&amp;$T43),""))</f>
        <v/>
      </c>
      <c r="AC43" t="str" cm="1">
        <f t="array" aca="1" ref="AC43" ca="1">IF(ISBLANK($C43),"",IF(G43=0,INDIRECT(G$2&amp;"!F"&amp;$T43),""))</f>
        <v/>
      </c>
      <c r="AD43" t="str" cm="1">
        <f t="array" aca="1" ref="AD43" ca="1">IF(ISBLANK($C43),"",IF(H43=0,INDIRECT(H$2&amp;"!F"&amp;$T43),""))</f>
        <v/>
      </c>
      <c r="AE43" cm="1">
        <f t="array" aca="1" ref="AE43" ca="1">IF(ISBLANK($C43),"",IF(I43=0,INDIRECT(I$2&amp;"!F"&amp;$T43),""))</f>
        <v>13</v>
      </c>
      <c r="AF43" t="str" cm="1">
        <f t="array" aca="1" ref="AF43" ca="1">IF(ISBLANK($C43),"",IF(J43=0,INDIRECT(J$2&amp;"!F"&amp;$T43),""))</f>
        <v/>
      </c>
      <c r="AG43" cm="1">
        <f t="array" aca="1" ref="AG43" ca="1">IF(ISBLANK($C43),"",IF(K43=0,INDIRECT(K$2&amp;"!F"&amp;$T43),""))</f>
        <v>8</v>
      </c>
      <c r="AH43" t="str" cm="1">
        <f t="array" aca="1" ref="AH43" ca="1">IF(ISBLANK($C43),"",IF(L43=0,INDIRECT(L$2&amp;"!F"&amp;$T43),""))</f>
        <v/>
      </c>
      <c r="AI43" t="str" cm="1">
        <f t="array" aca="1" ref="AI43" ca="1">IF(ISBLANK($C43),"",IF(M43=0,INDIRECT(M$2&amp;"!F"&amp;$T43),""))</f>
        <v/>
      </c>
      <c r="AJ43" t="str" cm="1">
        <f t="array" aca="1" ref="AJ43" ca="1">IF(ISBLANK($C43),"",IF(N43=0,INDIRECT(N$2&amp;"!F"&amp;$T43),""))</f>
        <v/>
      </c>
      <c r="AK43" cm="1">
        <f t="array" aca="1" ref="AK43" ca="1">IF(ISBLANK($C43),"",IF(O43=0,INDIRECT(O$2&amp;"!F"&amp;$T43),""))</f>
        <v>26</v>
      </c>
      <c r="AL43" t="str" cm="1">
        <f t="array" aca="1" ref="AL43" ca="1">IF(ISBLANK($C43),"",IF(P43=0,INDIRECT(P$2&amp;"!F"&amp;$T43),""))</f>
        <v/>
      </c>
      <c r="AM43" t="str" cm="1">
        <f t="array" aca="1" ref="AM43" ca="1">IF(ISBLANK($C43),"",IF(Q43=0,INDIRECT(Q$2&amp;"!F"&amp;$T43),""))</f>
        <v/>
      </c>
      <c r="AN43" t="str" cm="1">
        <f t="array" aca="1" ref="AN43" ca="1">IF(ISBLANK($C43),"",IF(R43=0,INDIRECT(R$2&amp;"!F"&amp;$T43),""))</f>
        <v/>
      </c>
      <c r="AO43" cm="1">
        <f t="array" aca="1" ref="AO43" ca="1">IF(ISBLANK($C43),"",IF(S43=0,INDIRECT(S$2&amp;"!F"&amp;$T43),""))</f>
        <v>8</v>
      </c>
      <c r="AP43">
        <f t="shared" ca="1" si="6"/>
        <v>4</v>
      </c>
      <c r="AQ43">
        <f t="shared" ca="1" si="7"/>
        <v>15</v>
      </c>
    </row>
    <row r="44" spans="1:43" ht="16" thickBot="1" x14ac:dyDescent="0.4">
      <c r="A44" s="34">
        <v>43471</v>
      </c>
      <c r="B44" s="35" t="s">
        <v>125</v>
      </c>
      <c r="C44" s="35" t="s">
        <v>126</v>
      </c>
      <c r="D44" s="40"/>
      <c r="E44" s="44" cm="1">
        <f t="array" aca="1" ref="E44" ca="1">IF(ISBLANK($C44),"",IF(($C44=(INDIRECT(E$2&amp;"!E"&amp;$T44))),(INDIRECT(E$2&amp;"!F"&amp;$T44)),0))</f>
        <v>26</v>
      </c>
      <c r="F44" s="45" cm="1">
        <f t="array" aca="1" ref="F44" ca="1">IF(ISBLANK($C44),"",IF(($C44=(INDIRECT(F$2&amp;"!E"&amp;$T44))),(INDIRECT(F$2&amp;"!F"&amp;$T44)),0))</f>
        <v>34</v>
      </c>
      <c r="G44" s="45" cm="1">
        <f t="array" aca="1" ref="G44" ca="1">IF(ISBLANK($C44),"",IF(($C44=(INDIRECT(G$2&amp;"!E"&amp;$T44))),(INDIRECT(G$2&amp;"!F"&amp;$T44)),0))</f>
        <v>0</v>
      </c>
      <c r="H44" s="45" cm="1">
        <f t="array" aca="1" ref="H44" ca="1">IF(ISBLANK($C44),"",IF(($C44=(INDIRECT(H$2&amp;"!E"&amp;$T44))),(INDIRECT(H$2&amp;"!F"&amp;$T44)),0))</f>
        <v>35</v>
      </c>
      <c r="I44" s="45" cm="1">
        <f t="array" aca="1" ref="I44" ca="1">IF(ISBLANK($C44),"",IF(($C44=(INDIRECT(I$2&amp;"!E"&amp;$T44))),(INDIRECT(I$2&amp;"!F"&amp;$T44)),0))</f>
        <v>32</v>
      </c>
      <c r="J44" s="45" cm="1">
        <f t="array" aca="1" ref="J44" ca="1">IF(ISBLANK($C44),"",IF(($C44=(INDIRECT(J$2&amp;"!E"&amp;$T44))),(INDIRECT(J$2&amp;"!F"&amp;$T44)),0))</f>
        <v>17</v>
      </c>
      <c r="K44" s="45" cm="1">
        <f t="array" aca="1" ref="K44" ca="1">IF(ISBLANK($C44),"",IF(($C44=(INDIRECT(K$2&amp;"!E"&amp;$T44))),(INDIRECT(K$2&amp;"!F"&amp;$T44)),0))</f>
        <v>0</v>
      </c>
      <c r="L44" s="45" cm="1">
        <f t="array" aca="1" ref="L44" ca="1">IF(ISBLANK($C44),"",IF(($C44=(INDIRECT(L$2&amp;"!E"&amp;$T44))),(INDIRECT(L$2&amp;"!F"&amp;$T44)),0))</f>
        <v>34</v>
      </c>
      <c r="M44" s="45" cm="1">
        <f t="array" aca="1" ref="M44" ca="1">IF(ISBLANK($C44),"",IF(($C44=(INDIRECT(M$2&amp;"!E"&amp;$T44))),(INDIRECT(M$2&amp;"!F"&amp;$T44)),0))</f>
        <v>25</v>
      </c>
      <c r="N44" s="45" cm="1">
        <f t="array" aca="1" ref="N44" ca="1">IF(ISBLANK($C44),"",IF(($C44=(INDIRECT(N$2&amp;"!E"&amp;$T44))),(INDIRECT(N$2&amp;"!F"&amp;$T44)),0))</f>
        <v>0</v>
      </c>
      <c r="O44" s="45" cm="1">
        <f t="array" aca="1" ref="O44" ca="1">IF(ISBLANK($C44),"",IF(($C44=(INDIRECT(O$2&amp;"!E"&amp;$T44))),(INDIRECT(O$2&amp;"!F"&amp;$T44)),0))</f>
        <v>0</v>
      </c>
      <c r="P44" s="45" cm="1">
        <f t="array" aca="1" ref="P44" ca="1">IF(ISBLANK($C44),"",IF(($C44=(INDIRECT(P$2&amp;"!E"&amp;$T44))),(INDIRECT(P$2&amp;"!F"&amp;$T44)),0))</f>
        <v>18</v>
      </c>
      <c r="Q44" s="45" cm="1">
        <f t="array" aca="1" ref="Q44" ca="1">IF(ISBLANK($C44),"",IF(($C44=(INDIRECT(Q$2&amp;"!E"&amp;$T44))),(INDIRECT(Q$2&amp;"!F"&amp;$T44)),0))</f>
        <v>0</v>
      </c>
      <c r="R44" s="45" cm="1">
        <f t="array" aca="1" ref="R44" ca="1">IF(ISBLANK($C44),"",IF(($C44=(INDIRECT(R$2&amp;"!E"&amp;$T44))),(INDIRECT(R$2&amp;"!F"&amp;$T44)),0))</f>
        <v>0</v>
      </c>
      <c r="S44" s="46" cm="1">
        <f t="array" aca="1" ref="S44" ca="1">IF(ISBLANK($C44),"",IF(($C44=(INDIRECT(S$2&amp;"!E"&amp;$T44))),(INDIRECT(S$2&amp;"!F"&amp;$T44)),0))</f>
        <v>13</v>
      </c>
      <c r="T44" s="50">
        <f t="shared" si="8"/>
        <v>43</v>
      </c>
      <c r="U44" s="81">
        <f t="shared" ca="1" si="9"/>
        <v>9</v>
      </c>
      <c r="V44" s="83">
        <f t="shared" ca="1" si="10"/>
        <v>26</v>
      </c>
      <c r="W44" s="82" t="s">
        <v>125</v>
      </c>
      <c r="X44" s="88">
        <f t="shared" ca="1" si="11"/>
        <v>6</v>
      </c>
      <c r="Y44" s="89">
        <f t="shared" ca="1" si="12"/>
        <v>20.166666666666668</v>
      </c>
      <c r="Z44" s="82" t="s">
        <v>125</v>
      </c>
      <c r="AA44" t="str" cm="1">
        <f t="array" aca="1" ref="AA44" ca="1">IF(ISBLANK($C44),"",IF(E44=0,INDIRECT(E$2&amp;"!F"&amp;$T44),""))</f>
        <v/>
      </c>
      <c r="AB44" t="str" cm="1">
        <f t="array" aca="1" ref="AB44" ca="1">IF(ISBLANK($C44),"",IF(F44=0,INDIRECT(F$2&amp;"!F"&amp;$T44),""))</f>
        <v/>
      </c>
      <c r="AC44" cm="1">
        <f t="array" aca="1" ref="AC44" ca="1">IF(ISBLANK($C44),"",IF(G44=0,INDIRECT(G$2&amp;"!F"&amp;$T44),""))</f>
        <v>6</v>
      </c>
      <c r="AD44" t="str" cm="1">
        <f t="array" aca="1" ref="AD44" ca="1">IF(ISBLANK($C44),"",IF(H44=0,INDIRECT(H$2&amp;"!F"&amp;$T44),""))</f>
        <v/>
      </c>
      <c r="AE44" t="str" cm="1">
        <f t="array" aca="1" ref="AE44" ca="1">IF(ISBLANK($C44),"",IF(I44=0,INDIRECT(I$2&amp;"!F"&amp;$T44),""))</f>
        <v/>
      </c>
      <c r="AF44" t="str" cm="1">
        <f t="array" aca="1" ref="AF44" ca="1">IF(ISBLANK($C44),"",IF(J44=0,INDIRECT(J$2&amp;"!F"&amp;$T44),""))</f>
        <v/>
      </c>
      <c r="AG44" cm="1">
        <f t="array" aca="1" ref="AG44" ca="1">IF(ISBLANK($C44),"",IF(K44=0,INDIRECT(K$2&amp;"!F"&amp;$T44),""))</f>
        <v>11</v>
      </c>
      <c r="AH44" t="str" cm="1">
        <f t="array" aca="1" ref="AH44" ca="1">IF(ISBLANK($C44),"",IF(L44=0,INDIRECT(L$2&amp;"!F"&amp;$T44),""))</f>
        <v/>
      </c>
      <c r="AI44" t="str" cm="1">
        <f t="array" aca="1" ref="AI44" ca="1">IF(ISBLANK($C44),"",IF(M44=0,INDIRECT(M$2&amp;"!F"&amp;$T44),""))</f>
        <v/>
      </c>
      <c r="AJ44" cm="1">
        <f t="array" aca="1" ref="AJ44" ca="1">IF(ISBLANK($C44),"",IF(N44=0,INDIRECT(N$2&amp;"!F"&amp;$T44),""))</f>
        <v>33</v>
      </c>
      <c r="AK44" cm="1">
        <f t="array" aca="1" ref="AK44" ca="1">IF(ISBLANK($C44),"",IF(O44=0,INDIRECT(O$2&amp;"!F"&amp;$T44),""))</f>
        <v>18</v>
      </c>
      <c r="AL44" t="str" cm="1">
        <f t="array" aca="1" ref="AL44" ca="1">IF(ISBLANK($C44),"",IF(P44=0,INDIRECT(P$2&amp;"!F"&amp;$T44),""))</f>
        <v/>
      </c>
      <c r="AM44" cm="1">
        <f t="array" aca="1" ref="AM44" ca="1">IF(ISBLANK($C44),"",IF(Q44=0,INDIRECT(Q$2&amp;"!F"&amp;$T44),""))</f>
        <v>40</v>
      </c>
      <c r="AN44" cm="1">
        <f t="array" aca="1" ref="AN44" ca="1">IF(ISBLANK($C44),"",IF(R44=0,INDIRECT(R$2&amp;"!F"&amp;$T44),""))</f>
        <v>13</v>
      </c>
      <c r="AO44" t="str" cm="1">
        <f t="array" aca="1" ref="AO44" ca="1">IF(ISBLANK($C44),"",IF(S44=0,INDIRECT(S$2&amp;"!F"&amp;$T44),""))</f>
        <v/>
      </c>
      <c r="AP44">
        <f t="shared" ca="1" si="6"/>
        <v>6</v>
      </c>
      <c r="AQ44">
        <f t="shared" ca="1" si="7"/>
        <v>15</v>
      </c>
    </row>
    <row r="45" spans="1:43" ht="15.5" hidden="1" x14ac:dyDescent="0.35">
      <c r="E45" s="54">
        <f t="shared" ref="E45:S45" ca="1" si="13">SUM(E46:E100)</f>
        <v>0</v>
      </c>
      <c r="F45" s="54">
        <f t="shared" ca="1" si="13"/>
        <v>0</v>
      </c>
      <c r="G45" s="54">
        <f t="shared" ca="1" si="13"/>
        <v>0</v>
      </c>
      <c r="H45" s="54">
        <f t="shared" ca="1" si="13"/>
        <v>0</v>
      </c>
      <c r="I45" s="54">
        <f t="shared" ca="1" si="13"/>
        <v>0</v>
      </c>
      <c r="J45" s="54">
        <f t="shared" ca="1" si="13"/>
        <v>0</v>
      </c>
      <c r="K45" s="54">
        <f t="shared" ca="1" si="13"/>
        <v>0</v>
      </c>
      <c r="L45" s="54">
        <f t="shared" ca="1" si="13"/>
        <v>0</v>
      </c>
      <c r="M45" s="54">
        <f t="shared" ca="1" si="13"/>
        <v>0</v>
      </c>
      <c r="N45" s="54">
        <f t="shared" ca="1" si="13"/>
        <v>0</v>
      </c>
      <c r="O45" s="54">
        <f t="shared" ca="1" si="13"/>
        <v>0</v>
      </c>
      <c r="P45" s="54">
        <f t="shared" ca="1" si="13"/>
        <v>0</v>
      </c>
      <c r="Q45" s="54">
        <f t="shared" ca="1" si="13"/>
        <v>0</v>
      </c>
      <c r="R45" s="54">
        <f t="shared" ca="1" si="13"/>
        <v>0</v>
      </c>
      <c r="S45" s="54">
        <f t="shared" ca="1" si="13"/>
        <v>0</v>
      </c>
      <c r="U45" s="50" t="str">
        <f t="shared" si="9"/>
        <v/>
      </c>
      <c r="V45" s="73" t="str">
        <f t="shared" si="10"/>
        <v/>
      </c>
      <c r="W45" s="50"/>
      <c r="X45" s="73" t="str">
        <f t="shared" si="11"/>
        <v/>
      </c>
      <c r="Y45" s="73" t="str">
        <f t="shared" si="12"/>
        <v/>
      </c>
      <c r="Z45" s="73"/>
    </row>
    <row r="46" spans="1:43" ht="15.5" hidden="1" x14ac:dyDescent="0.35">
      <c r="D46">
        <f>ROW()-42</f>
        <v>4</v>
      </c>
      <c r="E46" s="54" t="str" cm="1">
        <f t="array" aca="1" ref="E46" ca="1">IF(ISBLANK($C5),INDIRECT(E$2&amp;"!F"&amp;$D46),"")</f>
        <v/>
      </c>
      <c r="F46" s="54" t="str" cm="1">
        <f t="array" aca="1" ref="F46" ca="1">IF(ISBLANK($C5),INDIRECT(F$2&amp;"!F"&amp;$D46),"")</f>
        <v/>
      </c>
      <c r="G46" s="54" t="str" cm="1">
        <f t="array" aca="1" ref="G46" ca="1">IF(ISBLANK($C5),INDIRECT(G$2&amp;"!F"&amp;$D46),"")</f>
        <v/>
      </c>
      <c r="H46" s="54" t="str" cm="1">
        <f t="array" aca="1" ref="H46" ca="1">IF(ISBLANK($C5),INDIRECT(H$2&amp;"!F"&amp;$D46),"")</f>
        <v/>
      </c>
      <c r="I46" s="54" t="str" cm="1">
        <f t="array" aca="1" ref="I46" ca="1">IF(ISBLANK($C5),INDIRECT(I$2&amp;"!F"&amp;$D46),"")</f>
        <v/>
      </c>
      <c r="J46" s="54" t="str" cm="1">
        <f t="array" aca="1" ref="J46" ca="1">IF(ISBLANK($C5),INDIRECT(J$2&amp;"!F"&amp;$D46),"")</f>
        <v/>
      </c>
      <c r="K46" s="54" t="str" cm="1">
        <f t="array" aca="1" ref="K46" ca="1">IF(ISBLANK($C5),INDIRECT(K$2&amp;"!F"&amp;$D46),"")</f>
        <v/>
      </c>
      <c r="L46" s="54" t="str" cm="1">
        <f t="array" aca="1" ref="L46" ca="1">IF(ISBLANK($C5),INDIRECT(L$2&amp;"!F"&amp;$D46),"")</f>
        <v/>
      </c>
      <c r="M46" s="54" t="str" cm="1">
        <f t="array" aca="1" ref="M46" ca="1">IF(ISBLANK($C5),INDIRECT(M$2&amp;"!F"&amp;$D46),"")</f>
        <v/>
      </c>
      <c r="N46" s="54" t="str" cm="1">
        <f t="array" aca="1" ref="N46" ca="1">IF(ISBLANK($C5),INDIRECT(N$2&amp;"!F"&amp;$D46),"")</f>
        <v/>
      </c>
      <c r="O46" s="54" t="str" cm="1">
        <f t="array" aca="1" ref="O46" ca="1">IF(ISBLANK($C5),INDIRECT(O$2&amp;"!F"&amp;$D46),"")</f>
        <v/>
      </c>
      <c r="P46" s="54" t="str" cm="1">
        <f t="array" aca="1" ref="P46" ca="1">IF(ISBLANK($C5),INDIRECT(P$2&amp;"!F"&amp;$D46),"")</f>
        <v/>
      </c>
      <c r="Q46" s="54" t="str" cm="1">
        <f t="array" aca="1" ref="Q46" ca="1">IF(ISBLANK($C5),INDIRECT(Q$2&amp;"!F"&amp;$D46),"")</f>
        <v/>
      </c>
      <c r="R46" s="54" t="str" cm="1">
        <f t="array" aca="1" ref="R46" ca="1">IF(ISBLANK($C5),INDIRECT(R$2&amp;"!F"&amp;$D46),"")</f>
        <v/>
      </c>
      <c r="S46" s="54" t="str" cm="1">
        <f t="array" aca="1" ref="S46" ca="1">IF(ISBLANK($C5),INDIRECT(S$2&amp;"!F"&amp;$D46),"")</f>
        <v/>
      </c>
      <c r="T46" s="54" t="e" cm="1">
        <f t="array" aca="1" ref="T46" ca="1">OFFSET(INDIRECT(T$2&amp;"!$F$4:$F43"),0,0,COUNTBLANK(Summary!$C$5:$C$44),1)</f>
        <v>#REF!</v>
      </c>
      <c r="U46" s="50" t="str">
        <f t="shared" si="9"/>
        <v/>
      </c>
      <c r="V46" s="73" t="str">
        <f t="shared" si="10"/>
        <v/>
      </c>
      <c r="W46" s="50"/>
      <c r="X46" s="73" t="str">
        <f t="shared" si="11"/>
        <v/>
      </c>
      <c r="Y46" s="73" t="str">
        <f t="shared" si="12"/>
        <v/>
      </c>
      <c r="Z46" s="73"/>
    </row>
    <row r="47" spans="1:43" ht="15.5" hidden="1" x14ac:dyDescent="0.35">
      <c r="D47">
        <f t="shared" ref="D47:D88" si="14">ROW()-42</f>
        <v>5</v>
      </c>
      <c r="E47" s="54" t="str" cm="1">
        <f t="array" aca="1" ref="E47" ca="1">IF(ISBLANK($C6),INDIRECT(E$2&amp;"!F"&amp;$D47),"")</f>
        <v/>
      </c>
      <c r="F47" s="54" t="str" cm="1">
        <f t="array" aca="1" ref="F47" ca="1">IF(ISBLANK($C6),INDIRECT(F$2&amp;"!F"&amp;$D47),"")</f>
        <v/>
      </c>
      <c r="G47" s="54" t="str" cm="1">
        <f t="array" aca="1" ref="G47" ca="1">IF(ISBLANK($C6),INDIRECT(G$2&amp;"!F"&amp;$D47),"")</f>
        <v/>
      </c>
      <c r="H47" s="54" t="str" cm="1">
        <f t="array" aca="1" ref="H47" ca="1">IF(ISBLANK($C6),INDIRECT(H$2&amp;"!F"&amp;$D47),"")</f>
        <v/>
      </c>
      <c r="I47" s="54" t="str" cm="1">
        <f t="array" aca="1" ref="I47" ca="1">IF(ISBLANK($C6),INDIRECT(I$2&amp;"!F"&amp;$D47),"")</f>
        <v/>
      </c>
      <c r="J47" s="54" t="str" cm="1">
        <f t="array" aca="1" ref="J47" ca="1">IF(ISBLANK($C6),INDIRECT(J$2&amp;"!F"&amp;$D47),"")</f>
        <v/>
      </c>
      <c r="K47" s="54" t="str" cm="1">
        <f t="array" aca="1" ref="K47" ca="1">IF(ISBLANK($C6),INDIRECT(K$2&amp;"!F"&amp;$D47),"")</f>
        <v/>
      </c>
      <c r="L47" s="54" t="str" cm="1">
        <f t="array" aca="1" ref="L47" ca="1">IF(ISBLANK($C6),INDIRECT(L$2&amp;"!F"&amp;$D47),"")</f>
        <v/>
      </c>
      <c r="M47" s="54" t="str" cm="1">
        <f t="array" aca="1" ref="M47" ca="1">IF(ISBLANK($C6),INDIRECT(M$2&amp;"!F"&amp;$D47),"")</f>
        <v/>
      </c>
      <c r="N47" s="54" t="str" cm="1">
        <f t="array" aca="1" ref="N47" ca="1">IF(ISBLANK($C6),INDIRECT(N$2&amp;"!F"&amp;$D47),"")</f>
        <v/>
      </c>
      <c r="O47" s="54" t="str" cm="1">
        <f t="array" aca="1" ref="O47" ca="1">IF(ISBLANK($C6),INDIRECT(O$2&amp;"!F"&amp;$D47),"")</f>
        <v/>
      </c>
      <c r="P47" s="54" t="str" cm="1">
        <f t="array" aca="1" ref="P47" ca="1">IF(ISBLANK($C6),INDIRECT(P$2&amp;"!F"&amp;$D47),"")</f>
        <v/>
      </c>
      <c r="Q47" s="54" t="str" cm="1">
        <f t="array" aca="1" ref="Q47" ca="1">IF(ISBLANK($C6),INDIRECT(Q$2&amp;"!F"&amp;$D47),"")</f>
        <v/>
      </c>
      <c r="R47" s="54" t="str" cm="1">
        <f t="array" aca="1" ref="R47" ca="1">IF(ISBLANK($C6),INDIRECT(R$2&amp;"!F"&amp;$D47),"")</f>
        <v/>
      </c>
      <c r="S47" s="54" t="str" cm="1">
        <f t="array" aca="1" ref="S47" ca="1">IF(ISBLANK($C6),INDIRECT(S$2&amp;"!F"&amp;$D47),"")</f>
        <v/>
      </c>
      <c r="U47" s="50" t="str">
        <f t="shared" si="9"/>
        <v/>
      </c>
      <c r="V47" s="73" t="str">
        <f t="shared" si="10"/>
        <v/>
      </c>
      <c r="W47" s="50"/>
      <c r="X47" s="73" t="str">
        <f t="shared" si="11"/>
        <v/>
      </c>
      <c r="Y47" s="73" t="str">
        <f t="shared" si="12"/>
        <v/>
      </c>
      <c r="Z47" s="73"/>
    </row>
    <row r="48" spans="1:43" ht="15.5" hidden="1" x14ac:dyDescent="0.35">
      <c r="D48">
        <f t="shared" si="14"/>
        <v>6</v>
      </c>
      <c r="E48" s="54" t="str" cm="1">
        <f t="array" aca="1" ref="E48" ca="1">IF(ISBLANK($C7),INDIRECT(E$2&amp;"!F"&amp;$D48),"")</f>
        <v/>
      </c>
      <c r="F48" s="54" t="str" cm="1">
        <f t="array" aca="1" ref="F48" ca="1">IF(ISBLANK($C7),INDIRECT(F$2&amp;"!F"&amp;$D48),"")</f>
        <v/>
      </c>
      <c r="G48" s="54" t="str" cm="1">
        <f t="array" aca="1" ref="G48" ca="1">IF(ISBLANK($C7),INDIRECT(G$2&amp;"!F"&amp;$D48),"")</f>
        <v/>
      </c>
      <c r="H48" s="54" t="str" cm="1">
        <f t="array" aca="1" ref="H48" ca="1">IF(ISBLANK($C7),INDIRECT(H$2&amp;"!F"&amp;$D48),"")</f>
        <v/>
      </c>
      <c r="I48" s="54" t="str" cm="1">
        <f t="array" aca="1" ref="I48" ca="1">IF(ISBLANK($C7),INDIRECT(I$2&amp;"!F"&amp;$D48),"")</f>
        <v/>
      </c>
      <c r="J48" s="54" t="str" cm="1">
        <f t="array" aca="1" ref="J48" ca="1">IF(ISBLANK($C7),INDIRECT(J$2&amp;"!F"&amp;$D48),"")</f>
        <v/>
      </c>
      <c r="K48" s="54" t="str" cm="1">
        <f t="array" aca="1" ref="K48" ca="1">IF(ISBLANK($C7),INDIRECT(K$2&amp;"!F"&amp;$D48),"")</f>
        <v/>
      </c>
      <c r="L48" s="54" t="str" cm="1">
        <f t="array" aca="1" ref="L48" ca="1">IF(ISBLANK($C7),INDIRECT(L$2&amp;"!F"&amp;$D48),"")</f>
        <v/>
      </c>
      <c r="M48" s="54" t="str" cm="1">
        <f t="array" aca="1" ref="M48" ca="1">IF(ISBLANK($C7),INDIRECT(M$2&amp;"!F"&amp;$D48),"")</f>
        <v/>
      </c>
      <c r="N48" s="54" t="str" cm="1">
        <f t="array" aca="1" ref="N48" ca="1">IF(ISBLANK($C7),INDIRECT(N$2&amp;"!F"&amp;$D48),"")</f>
        <v/>
      </c>
      <c r="O48" s="54" t="str" cm="1">
        <f t="array" aca="1" ref="O48" ca="1">IF(ISBLANK($C7),INDIRECT(O$2&amp;"!F"&amp;$D48),"")</f>
        <v/>
      </c>
      <c r="P48" s="54" t="str" cm="1">
        <f t="array" aca="1" ref="P48" ca="1">IF(ISBLANK($C7),INDIRECT(P$2&amp;"!F"&amp;$D48),"")</f>
        <v/>
      </c>
      <c r="Q48" s="54" t="str" cm="1">
        <f t="array" aca="1" ref="Q48" ca="1">IF(ISBLANK($C7),INDIRECT(Q$2&amp;"!F"&amp;$D48),"")</f>
        <v/>
      </c>
      <c r="R48" s="54" t="str" cm="1">
        <f t="array" aca="1" ref="R48" ca="1">IF(ISBLANK($C7),INDIRECT(R$2&amp;"!F"&amp;$D48),"")</f>
        <v/>
      </c>
      <c r="S48" s="54" t="str" cm="1">
        <f t="array" aca="1" ref="S48" ca="1">IF(ISBLANK($C7),INDIRECT(S$2&amp;"!F"&amp;$D48),"")</f>
        <v/>
      </c>
      <c r="U48" s="50" t="str">
        <f t="shared" si="9"/>
        <v/>
      </c>
      <c r="V48" s="73" t="str">
        <f t="shared" si="10"/>
        <v/>
      </c>
      <c r="W48" s="50"/>
      <c r="X48" s="73" t="str">
        <f t="shared" si="11"/>
        <v/>
      </c>
      <c r="Y48" s="73" t="str">
        <f t="shared" si="12"/>
        <v/>
      </c>
      <c r="Z48" s="73"/>
    </row>
    <row r="49" spans="4:26" ht="15.5" hidden="1" x14ac:dyDescent="0.35">
      <c r="D49">
        <f t="shared" si="14"/>
        <v>7</v>
      </c>
      <c r="E49" s="54" t="str" cm="1">
        <f t="array" aca="1" ref="E49" ca="1">IF(ISBLANK($C8),INDIRECT(E$2&amp;"!F"&amp;$D49),"")</f>
        <v/>
      </c>
      <c r="F49" s="54" t="str" cm="1">
        <f t="array" aca="1" ref="F49" ca="1">IF(ISBLANK($C8),INDIRECT(F$2&amp;"!F"&amp;$D49),"")</f>
        <v/>
      </c>
      <c r="G49" s="54" t="str" cm="1">
        <f t="array" aca="1" ref="G49" ca="1">IF(ISBLANK($C8),INDIRECT(G$2&amp;"!F"&amp;$D49),"")</f>
        <v/>
      </c>
      <c r="H49" s="54" t="str" cm="1">
        <f t="array" aca="1" ref="H49" ca="1">IF(ISBLANK($C8),INDIRECT(H$2&amp;"!F"&amp;$D49),"")</f>
        <v/>
      </c>
      <c r="I49" s="54" t="str" cm="1">
        <f t="array" aca="1" ref="I49" ca="1">IF(ISBLANK($C8),INDIRECT(I$2&amp;"!F"&amp;$D49),"")</f>
        <v/>
      </c>
      <c r="J49" s="54" t="str" cm="1">
        <f t="array" aca="1" ref="J49" ca="1">IF(ISBLANK($C8),INDIRECT(J$2&amp;"!F"&amp;$D49),"")</f>
        <v/>
      </c>
      <c r="K49" s="54" t="str" cm="1">
        <f t="array" aca="1" ref="K49" ca="1">IF(ISBLANK($C8),INDIRECT(K$2&amp;"!F"&amp;$D49),"")</f>
        <v/>
      </c>
      <c r="L49" s="54" t="str" cm="1">
        <f t="array" aca="1" ref="L49" ca="1">IF(ISBLANK($C8),INDIRECT(L$2&amp;"!F"&amp;$D49),"")</f>
        <v/>
      </c>
      <c r="M49" s="54" t="str" cm="1">
        <f t="array" aca="1" ref="M49" ca="1">IF(ISBLANK($C8),INDIRECT(M$2&amp;"!F"&amp;$D49),"")</f>
        <v/>
      </c>
      <c r="N49" s="54" t="str" cm="1">
        <f t="array" aca="1" ref="N49" ca="1">IF(ISBLANK($C8),INDIRECT(N$2&amp;"!F"&amp;$D49),"")</f>
        <v/>
      </c>
      <c r="O49" s="54" t="str" cm="1">
        <f t="array" aca="1" ref="O49" ca="1">IF(ISBLANK($C8),INDIRECT(O$2&amp;"!F"&amp;$D49),"")</f>
        <v/>
      </c>
      <c r="P49" s="54" t="str" cm="1">
        <f t="array" aca="1" ref="P49" ca="1">IF(ISBLANK($C8),INDIRECT(P$2&amp;"!F"&amp;$D49),"")</f>
        <v/>
      </c>
      <c r="Q49" s="54" t="str" cm="1">
        <f t="array" aca="1" ref="Q49" ca="1">IF(ISBLANK($C8),INDIRECT(Q$2&amp;"!F"&amp;$D49),"")</f>
        <v/>
      </c>
      <c r="R49" s="54" t="str" cm="1">
        <f t="array" aca="1" ref="R49" ca="1">IF(ISBLANK($C8),INDIRECT(R$2&amp;"!F"&amp;$D49),"")</f>
        <v/>
      </c>
      <c r="S49" s="54" t="str" cm="1">
        <f t="array" aca="1" ref="S49" ca="1">IF(ISBLANK($C8),INDIRECT(S$2&amp;"!F"&amp;$D49),"")</f>
        <v/>
      </c>
      <c r="U49" s="50" t="str">
        <f t="shared" si="9"/>
        <v/>
      </c>
      <c r="V49" s="73" t="str">
        <f t="shared" si="10"/>
        <v/>
      </c>
      <c r="W49" s="50"/>
      <c r="X49" s="73" t="str">
        <f t="shared" si="11"/>
        <v/>
      </c>
      <c r="Y49" s="73" t="str">
        <f t="shared" si="12"/>
        <v/>
      </c>
      <c r="Z49" s="73"/>
    </row>
    <row r="50" spans="4:26" ht="15.5" hidden="1" x14ac:dyDescent="0.35">
      <c r="D50">
        <f t="shared" si="14"/>
        <v>8</v>
      </c>
      <c r="E50" s="54" t="str" cm="1">
        <f t="array" aca="1" ref="E50" ca="1">IF(ISBLANK($C9),INDIRECT(E$2&amp;"!F"&amp;$D50),"")</f>
        <v/>
      </c>
      <c r="F50" s="54" t="str" cm="1">
        <f t="array" aca="1" ref="F50" ca="1">IF(ISBLANK($C9),INDIRECT(F$2&amp;"!F"&amp;$D50),"")</f>
        <v/>
      </c>
      <c r="G50" s="54" t="str" cm="1">
        <f t="array" aca="1" ref="G50" ca="1">IF(ISBLANK($C9),INDIRECT(G$2&amp;"!F"&amp;$D50),"")</f>
        <v/>
      </c>
      <c r="H50" s="54" t="str" cm="1">
        <f t="array" aca="1" ref="H50" ca="1">IF(ISBLANK($C9),INDIRECT(H$2&amp;"!F"&amp;$D50),"")</f>
        <v/>
      </c>
      <c r="I50" s="54" t="str" cm="1">
        <f t="array" aca="1" ref="I50" ca="1">IF(ISBLANK($C9),INDIRECT(I$2&amp;"!F"&amp;$D50),"")</f>
        <v/>
      </c>
      <c r="J50" s="54" t="str" cm="1">
        <f t="array" aca="1" ref="J50" ca="1">IF(ISBLANK($C9),INDIRECT(J$2&amp;"!F"&amp;$D50),"")</f>
        <v/>
      </c>
      <c r="K50" s="54" t="str" cm="1">
        <f t="array" aca="1" ref="K50" ca="1">IF(ISBLANK($C9),INDIRECT(K$2&amp;"!F"&amp;$D50),"")</f>
        <v/>
      </c>
      <c r="L50" s="54" t="str" cm="1">
        <f t="array" aca="1" ref="L50" ca="1">IF(ISBLANK($C9),INDIRECT(L$2&amp;"!F"&amp;$D50),"")</f>
        <v/>
      </c>
      <c r="M50" s="54" t="str" cm="1">
        <f t="array" aca="1" ref="M50" ca="1">IF(ISBLANK($C9),INDIRECT(M$2&amp;"!F"&amp;$D50),"")</f>
        <v/>
      </c>
      <c r="N50" s="54" t="str" cm="1">
        <f t="array" aca="1" ref="N50" ca="1">IF(ISBLANK($C9),INDIRECT(N$2&amp;"!F"&amp;$D50),"")</f>
        <v/>
      </c>
      <c r="O50" s="54" t="str" cm="1">
        <f t="array" aca="1" ref="O50" ca="1">IF(ISBLANK($C9),INDIRECT(O$2&amp;"!F"&amp;$D50),"")</f>
        <v/>
      </c>
      <c r="P50" s="54" t="str" cm="1">
        <f t="array" aca="1" ref="P50" ca="1">IF(ISBLANK($C9),INDIRECT(P$2&amp;"!F"&amp;$D50),"")</f>
        <v/>
      </c>
      <c r="Q50" s="54" t="str" cm="1">
        <f t="array" aca="1" ref="Q50" ca="1">IF(ISBLANK($C9),INDIRECT(Q$2&amp;"!F"&amp;$D50),"")</f>
        <v/>
      </c>
      <c r="R50" s="54" t="str" cm="1">
        <f t="array" aca="1" ref="R50" ca="1">IF(ISBLANK($C9),INDIRECT(R$2&amp;"!F"&amp;$D50),"")</f>
        <v/>
      </c>
      <c r="S50" s="54" t="str" cm="1">
        <f t="array" aca="1" ref="S50" ca="1">IF(ISBLANK($C9),INDIRECT(S$2&amp;"!F"&amp;$D50),"")</f>
        <v/>
      </c>
      <c r="U50" s="50" t="str">
        <f t="shared" si="9"/>
        <v/>
      </c>
      <c r="V50" s="73" t="str">
        <f t="shared" si="10"/>
        <v/>
      </c>
      <c r="W50" s="50"/>
      <c r="X50" s="73" t="str">
        <f t="shared" si="11"/>
        <v/>
      </c>
      <c r="Y50" s="73" t="str">
        <f t="shared" si="12"/>
        <v/>
      </c>
      <c r="Z50" s="73"/>
    </row>
    <row r="51" spans="4:26" ht="15.5" hidden="1" x14ac:dyDescent="0.35">
      <c r="D51">
        <f t="shared" si="14"/>
        <v>9</v>
      </c>
      <c r="E51" s="54" t="str" cm="1">
        <f t="array" aca="1" ref="E51" ca="1">IF(ISBLANK($C10),INDIRECT(E$2&amp;"!F"&amp;$D51),"")</f>
        <v/>
      </c>
      <c r="F51" s="54" t="str" cm="1">
        <f t="array" aca="1" ref="F51" ca="1">IF(ISBLANK($C10),INDIRECT(F$2&amp;"!F"&amp;$D51),"")</f>
        <v/>
      </c>
      <c r="G51" s="54" t="str" cm="1">
        <f t="array" aca="1" ref="G51" ca="1">IF(ISBLANK($C10),INDIRECT(G$2&amp;"!F"&amp;$D51),"")</f>
        <v/>
      </c>
      <c r="H51" s="54" t="str" cm="1">
        <f t="array" aca="1" ref="H51" ca="1">IF(ISBLANK($C10),INDIRECT(H$2&amp;"!F"&amp;$D51),"")</f>
        <v/>
      </c>
      <c r="I51" s="54" t="str" cm="1">
        <f t="array" aca="1" ref="I51" ca="1">IF(ISBLANK($C10),INDIRECT(I$2&amp;"!F"&amp;$D51),"")</f>
        <v/>
      </c>
      <c r="J51" s="54" t="str" cm="1">
        <f t="array" aca="1" ref="J51" ca="1">IF(ISBLANK($C10),INDIRECT(J$2&amp;"!F"&amp;$D51),"")</f>
        <v/>
      </c>
      <c r="K51" s="54" t="str" cm="1">
        <f t="array" aca="1" ref="K51" ca="1">IF(ISBLANK($C10),INDIRECT(K$2&amp;"!F"&amp;$D51),"")</f>
        <v/>
      </c>
      <c r="L51" s="54" t="str" cm="1">
        <f t="array" aca="1" ref="L51" ca="1">IF(ISBLANK($C10),INDIRECT(L$2&amp;"!F"&amp;$D51),"")</f>
        <v/>
      </c>
      <c r="M51" s="54" t="str" cm="1">
        <f t="array" aca="1" ref="M51" ca="1">IF(ISBLANK($C10),INDIRECT(M$2&amp;"!F"&amp;$D51),"")</f>
        <v/>
      </c>
      <c r="N51" s="54" t="str" cm="1">
        <f t="array" aca="1" ref="N51" ca="1">IF(ISBLANK($C10),INDIRECT(N$2&amp;"!F"&amp;$D51),"")</f>
        <v/>
      </c>
      <c r="O51" s="54" t="str" cm="1">
        <f t="array" aca="1" ref="O51" ca="1">IF(ISBLANK($C10),INDIRECT(O$2&amp;"!F"&amp;$D51),"")</f>
        <v/>
      </c>
      <c r="P51" s="54" t="str" cm="1">
        <f t="array" aca="1" ref="P51" ca="1">IF(ISBLANK($C10),INDIRECT(P$2&amp;"!F"&amp;$D51),"")</f>
        <v/>
      </c>
      <c r="Q51" s="54" t="str" cm="1">
        <f t="array" aca="1" ref="Q51" ca="1">IF(ISBLANK($C10),INDIRECT(Q$2&amp;"!F"&amp;$D51),"")</f>
        <v/>
      </c>
      <c r="R51" s="54" t="str" cm="1">
        <f t="array" aca="1" ref="R51" ca="1">IF(ISBLANK($C10),INDIRECT(R$2&amp;"!F"&amp;$D51),"")</f>
        <v/>
      </c>
      <c r="S51" s="54" t="str" cm="1">
        <f t="array" aca="1" ref="S51" ca="1">IF(ISBLANK($C10),INDIRECT(S$2&amp;"!F"&amp;$D51),"")</f>
        <v/>
      </c>
      <c r="U51" s="50" t="str">
        <f t="shared" si="9"/>
        <v/>
      </c>
      <c r="V51" s="73" t="str">
        <f t="shared" si="10"/>
        <v/>
      </c>
      <c r="W51" s="50"/>
      <c r="X51" s="73" t="str">
        <f t="shared" si="11"/>
        <v/>
      </c>
      <c r="Y51" s="73" t="str">
        <f t="shared" si="12"/>
        <v/>
      </c>
      <c r="Z51" s="73"/>
    </row>
    <row r="52" spans="4:26" ht="15.5" hidden="1" x14ac:dyDescent="0.35">
      <c r="D52">
        <f t="shared" si="14"/>
        <v>10</v>
      </c>
      <c r="E52" s="54" t="str" cm="1">
        <f t="array" aca="1" ref="E52" ca="1">IF(ISBLANK($C11),INDIRECT(E$2&amp;"!F"&amp;$D52),"")</f>
        <v/>
      </c>
      <c r="F52" s="54" t="str" cm="1">
        <f t="array" aca="1" ref="F52" ca="1">IF(ISBLANK($C11),INDIRECT(F$2&amp;"!F"&amp;$D52),"")</f>
        <v/>
      </c>
      <c r="G52" s="54" t="str" cm="1">
        <f t="array" aca="1" ref="G52" ca="1">IF(ISBLANK($C11),INDIRECT(G$2&amp;"!F"&amp;$D52),"")</f>
        <v/>
      </c>
      <c r="H52" s="54" t="str" cm="1">
        <f t="array" aca="1" ref="H52" ca="1">IF(ISBLANK($C11),INDIRECT(H$2&amp;"!F"&amp;$D52),"")</f>
        <v/>
      </c>
      <c r="I52" s="54" t="str" cm="1">
        <f t="array" aca="1" ref="I52" ca="1">IF(ISBLANK($C11),INDIRECT(I$2&amp;"!F"&amp;$D52),"")</f>
        <v/>
      </c>
      <c r="J52" s="54" t="str" cm="1">
        <f t="array" aca="1" ref="J52" ca="1">IF(ISBLANK($C11),INDIRECT(J$2&amp;"!F"&amp;$D52),"")</f>
        <v/>
      </c>
      <c r="K52" s="54" t="str" cm="1">
        <f t="array" aca="1" ref="K52" ca="1">IF(ISBLANK($C11),INDIRECT(K$2&amp;"!F"&amp;$D52),"")</f>
        <v/>
      </c>
      <c r="L52" s="54" t="str" cm="1">
        <f t="array" aca="1" ref="L52" ca="1">IF(ISBLANK($C11),INDIRECT(L$2&amp;"!F"&amp;$D52),"")</f>
        <v/>
      </c>
      <c r="M52" s="54" t="str" cm="1">
        <f t="array" aca="1" ref="M52" ca="1">IF(ISBLANK($C11),INDIRECT(M$2&amp;"!F"&amp;$D52),"")</f>
        <v/>
      </c>
      <c r="N52" s="54" t="str" cm="1">
        <f t="array" aca="1" ref="N52" ca="1">IF(ISBLANK($C11),INDIRECT(N$2&amp;"!F"&amp;$D52),"")</f>
        <v/>
      </c>
      <c r="O52" s="54" t="str" cm="1">
        <f t="array" aca="1" ref="O52" ca="1">IF(ISBLANK($C11),INDIRECT(O$2&amp;"!F"&amp;$D52),"")</f>
        <v/>
      </c>
      <c r="P52" s="54" t="str" cm="1">
        <f t="array" aca="1" ref="P52" ca="1">IF(ISBLANK($C11),INDIRECT(P$2&amp;"!F"&amp;$D52),"")</f>
        <v/>
      </c>
      <c r="Q52" s="54" t="str" cm="1">
        <f t="array" aca="1" ref="Q52" ca="1">IF(ISBLANK($C11),INDIRECT(Q$2&amp;"!F"&amp;$D52),"")</f>
        <v/>
      </c>
      <c r="R52" s="54" t="str" cm="1">
        <f t="array" aca="1" ref="R52" ca="1">IF(ISBLANK($C11),INDIRECT(R$2&amp;"!F"&amp;$D52),"")</f>
        <v/>
      </c>
      <c r="S52" s="54" t="str" cm="1">
        <f t="array" aca="1" ref="S52" ca="1">IF(ISBLANK($C11),INDIRECT(S$2&amp;"!F"&amp;$D52),"")</f>
        <v/>
      </c>
      <c r="U52" s="50" t="str">
        <f t="shared" si="9"/>
        <v/>
      </c>
      <c r="V52" s="73" t="str">
        <f t="shared" si="10"/>
        <v/>
      </c>
      <c r="W52" s="50"/>
      <c r="X52" s="73" t="str">
        <f t="shared" si="11"/>
        <v/>
      </c>
      <c r="Y52" s="73" t="str">
        <f t="shared" si="12"/>
        <v/>
      </c>
      <c r="Z52" s="73"/>
    </row>
    <row r="53" spans="4:26" ht="15.5" hidden="1" x14ac:dyDescent="0.35">
      <c r="D53">
        <f t="shared" si="14"/>
        <v>11</v>
      </c>
      <c r="E53" s="54" t="str" cm="1">
        <f t="array" aca="1" ref="E53" ca="1">IF(ISBLANK($C12),INDIRECT(E$2&amp;"!F"&amp;$D53),"")</f>
        <v/>
      </c>
      <c r="F53" s="54" t="str" cm="1">
        <f t="array" aca="1" ref="F53" ca="1">IF(ISBLANK($C12),INDIRECT(F$2&amp;"!F"&amp;$D53),"")</f>
        <v/>
      </c>
      <c r="G53" s="54" t="str" cm="1">
        <f t="array" aca="1" ref="G53" ca="1">IF(ISBLANK($C12),INDIRECT(G$2&amp;"!F"&amp;$D53),"")</f>
        <v/>
      </c>
      <c r="H53" s="54" t="str" cm="1">
        <f t="array" aca="1" ref="H53" ca="1">IF(ISBLANK($C12),INDIRECT(H$2&amp;"!F"&amp;$D53),"")</f>
        <v/>
      </c>
      <c r="I53" s="54" t="str" cm="1">
        <f t="array" aca="1" ref="I53" ca="1">IF(ISBLANK($C12),INDIRECT(I$2&amp;"!F"&amp;$D53),"")</f>
        <v/>
      </c>
      <c r="J53" s="54" t="str" cm="1">
        <f t="array" aca="1" ref="J53" ca="1">IF(ISBLANK($C12),INDIRECT(J$2&amp;"!F"&amp;$D53),"")</f>
        <v/>
      </c>
      <c r="K53" s="54" t="str" cm="1">
        <f t="array" aca="1" ref="K53" ca="1">IF(ISBLANK($C12),INDIRECT(K$2&amp;"!F"&amp;$D53),"")</f>
        <v/>
      </c>
      <c r="L53" s="54" t="str" cm="1">
        <f t="array" aca="1" ref="L53" ca="1">IF(ISBLANK($C12),INDIRECT(L$2&amp;"!F"&amp;$D53),"")</f>
        <v/>
      </c>
      <c r="M53" s="54" t="str" cm="1">
        <f t="array" aca="1" ref="M53" ca="1">IF(ISBLANK($C12),INDIRECT(M$2&amp;"!F"&amp;$D53),"")</f>
        <v/>
      </c>
      <c r="N53" s="54" t="str" cm="1">
        <f t="array" aca="1" ref="N53" ca="1">IF(ISBLANK($C12),INDIRECT(N$2&amp;"!F"&amp;$D53),"")</f>
        <v/>
      </c>
      <c r="O53" s="54" t="str" cm="1">
        <f t="array" aca="1" ref="O53" ca="1">IF(ISBLANK($C12),INDIRECT(O$2&amp;"!F"&amp;$D53),"")</f>
        <v/>
      </c>
      <c r="P53" s="54" t="str" cm="1">
        <f t="array" aca="1" ref="P53" ca="1">IF(ISBLANK($C12),INDIRECT(P$2&amp;"!F"&amp;$D53),"")</f>
        <v/>
      </c>
      <c r="Q53" s="54" t="str" cm="1">
        <f t="array" aca="1" ref="Q53" ca="1">IF(ISBLANK($C12),INDIRECT(Q$2&amp;"!F"&amp;$D53),"")</f>
        <v/>
      </c>
      <c r="R53" s="54" t="str" cm="1">
        <f t="array" aca="1" ref="R53" ca="1">IF(ISBLANK($C12),INDIRECT(R$2&amp;"!F"&amp;$D53),"")</f>
        <v/>
      </c>
      <c r="S53" s="54" t="str" cm="1">
        <f t="array" aca="1" ref="S53" ca="1">IF(ISBLANK($C12),INDIRECT(S$2&amp;"!F"&amp;$D53),"")</f>
        <v/>
      </c>
      <c r="U53" s="50" t="str">
        <f t="shared" si="9"/>
        <v/>
      </c>
      <c r="V53" s="73" t="str">
        <f t="shared" si="10"/>
        <v/>
      </c>
      <c r="W53" s="50"/>
      <c r="X53" s="73" t="str">
        <f t="shared" si="11"/>
        <v/>
      </c>
      <c r="Y53" s="73" t="str">
        <f t="shared" si="12"/>
        <v/>
      </c>
      <c r="Z53" s="73"/>
    </row>
    <row r="54" spans="4:26" ht="15.5" hidden="1" x14ac:dyDescent="0.35">
      <c r="D54">
        <f t="shared" si="14"/>
        <v>12</v>
      </c>
      <c r="E54" s="54" t="str" cm="1">
        <f t="array" aca="1" ref="E54" ca="1">IF(ISBLANK($C13),INDIRECT(E$2&amp;"!F"&amp;$D54),"")</f>
        <v/>
      </c>
      <c r="F54" s="54" t="str" cm="1">
        <f t="array" aca="1" ref="F54" ca="1">IF(ISBLANK($C13),INDIRECT(F$2&amp;"!F"&amp;$D54),"")</f>
        <v/>
      </c>
      <c r="G54" s="54" t="str" cm="1">
        <f t="array" aca="1" ref="G54" ca="1">IF(ISBLANK($C13),INDIRECT(G$2&amp;"!F"&amp;$D54),"")</f>
        <v/>
      </c>
      <c r="H54" s="54" t="str" cm="1">
        <f t="array" aca="1" ref="H54" ca="1">IF(ISBLANK($C13),INDIRECT(H$2&amp;"!F"&amp;$D54),"")</f>
        <v/>
      </c>
      <c r="I54" s="54" t="str" cm="1">
        <f t="array" aca="1" ref="I54" ca="1">IF(ISBLANK($C13),INDIRECT(I$2&amp;"!F"&amp;$D54),"")</f>
        <v/>
      </c>
      <c r="J54" s="54" t="str" cm="1">
        <f t="array" aca="1" ref="J54" ca="1">IF(ISBLANK($C13),INDIRECT(J$2&amp;"!F"&amp;$D54),"")</f>
        <v/>
      </c>
      <c r="K54" s="54" t="str" cm="1">
        <f t="array" aca="1" ref="K54" ca="1">IF(ISBLANK($C13),INDIRECT(K$2&amp;"!F"&amp;$D54),"")</f>
        <v/>
      </c>
      <c r="L54" s="54" t="str" cm="1">
        <f t="array" aca="1" ref="L54" ca="1">IF(ISBLANK($C13),INDIRECT(L$2&amp;"!F"&amp;$D54),"")</f>
        <v/>
      </c>
      <c r="M54" s="54" t="str" cm="1">
        <f t="array" aca="1" ref="M54" ca="1">IF(ISBLANK($C13),INDIRECT(M$2&amp;"!F"&amp;$D54),"")</f>
        <v/>
      </c>
      <c r="N54" s="54" t="str" cm="1">
        <f t="array" aca="1" ref="N54" ca="1">IF(ISBLANK($C13),INDIRECT(N$2&amp;"!F"&amp;$D54),"")</f>
        <v/>
      </c>
      <c r="O54" s="54" t="str" cm="1">
        <f t="array" aca="1" ref="O54" ca="1">IF(ISBLANK($C13),INDIRECT(O$2&amp;"!F"&amp;$D54),"")</f>
        <v/>
      </c>
      <c r="P54" s="54" t="str" cm="1">
        <f t="array" aca="1" ref="P54" ca="1">IF(ISBLANK($C13),INDIRECT(P$2&amp;"!F"&amp;$D54),"")</f>
        <v/>
      </c>
      <c r="Q54" s="54" t="str" cm="1">
        <f t="array" aca="1" ref="Q54" ca="1">IF(ISBLANK($C13),INDIRECT(Q$2&amp;"!F"&amp;$D54),"")</f>
        <v/>
      </c>
      <c r="R54" s="54" t="str" cm="1">
        <f t="array" aca="1" ref="R54" ca="1">IF(ISBLANK($C13),INDIRECT(R$2&amp;"!F"&amp;$D54),"")</f>
        <v/>
      </c>
      <c r="S54" s="54" t="str" cm="1">
        <f t="array" aca="1" ref="S54" ca="1">IF(ISBLANK($C13),INDIRECT(S$2&amp;"!F"&amp;$D54),"")</f>
        <v/>
      </c>
      <c r="U54" s="50" t="str">
        <f t="shared" si="9"/>
        <v/>
      </c>
      <c r="V54" s="73" t="str">
        <f t="shared" si="10"/>
        <v/>
      </c>
      <c r="W54" s="50"/>
      <c r="X54" s="73" t="str">
        <f t="shared" si="11"/>
        <v/>
      </c>
      <c r="Y54" s="73" t="str">
        <f t="shared" si="12"/>
        <v/>
      </c>
      <c r="Z54" s="73"/>
    </row>
    <row r="55" spans="4:26" ht="15.5" hidden="1" x14ac:dyDescent="0.35">
      <c r="D55">
        <f t="shared" si="14"/>
        <v>13</v>
      </c>
      <c r="E55" s="54" t="str" cm="1">
        <f t="array" aca="1" ref="E55" ca="1">IF(ISBLANK($C14),INDIRECT(E$2&amp;"!F"&amp;$D55),"")</f>
        <v/>
      </c>
      <c r="F55" s="54" t="str" cm="1">
        <f t="array" aca="1" ref="F55" ca="1">IF(ISBLANK($C14),INDIRECT(F$2&amp;"!F"&amp;$D55),"")</f>
        <v/>
      </c>
      <c r="G55" s="54" t="str" cm="1">
        <f t="array" aca="1" ref="G55" ca="1">IF(ISBLANK($C14),INDIRECT(G$2&amp;"!F"&amp;$D55),"")</f>
        <v/>
      </c>
      <c r="H55" s="54" t="str" cm="1">
        <f t="array" aca="1" ref="H55" ca="1">IF(ISBLANK($C14),INDIRECT(H$2&amp;"!F"&amp;$D55),"")</f>
        <v/>
      </c>
      <c r="I55" s="54" t="str" cm="1">
        <f t="array" aca="1" ref="I55" ca="1">IF(ISBLANK($C14),INDIRECT(I$2&amp;"!F"&amp;$D55),"")</f>
        <v/>
      </c>
      <c r="J55" s="54" t="str" cm="1">
        <f t="array" aca="1" ref="J55" ca="1">IF(ISBLANK($C14),INDIRECT(J$2&amp;"!F"&amp;$D55),"")</f>
        <v/>
      </c>
      <c r="K55" s="54" t="str" cm="1">
        <f t="array" aca="1" ref="K55" ca="1">IF(ISBLANK($C14),INDIRECT(K$2&amp;"!F"&amp;$D55),"")</f>
        <v/>
      </c>
      <c r="L55" s="54" t="str" cm="1">
        <f t="array" aca="1" ref="L55" ca="1">IF(ISBLANK($C14),INDIRECT(L$2&amp;"!F"&amp;$D55),"")</f>
        <v/>
      </c>
      <c r="M55" s="54" t="str" cm="1">
        <f t="array" aca="1" ref="M55" ca="1">IF(ISBLANK($C14),INDIRECT(M$2&amp;"!F"&amp;$D55),"")</f>
        <v/>
      </c>
      <c r="N55" s="54" t="str" cm="1">
        <f t="array" aca="1" ref="N55" ca="1">IF(ISBLANK($C14),INDIRECT(N$2&amp;"!F"&amp;$D55),"")</f>
        <v/>
      </c>
      <c r="O55" s="54" t="str" cm="1">
        <f t="array" aca="1" ref="O55" ca="1">IF(ISBLANK($C14),INDIRECT(O$2&amp;"!F"&amp;$D55),"")</f>
        <v/>
      </c>
      <c r="P55" s="54" t="str" cm="1">
        <f t="array" aca="1" ref="P55" ca="1">IF(ISBLANK($C14),INDIRECT(P$2&amp;"!F"&amp;$D55),"")</f>
        <v/>
      </c>
      <c r="Q55" s="54" t="str" cm="1">
        <f t="array" aca="1" ref="Q55" ca="1">IF(ISBLANK($C14),INDIRECT(Q$2&amp;"!F"&amp;$D55),"")</f>
        <v/>
      </c>
      <c r="R55" s="54" t="str" cm="1">
        <f t="array" aca="1" ref="R55" ca="1">IF(ISBLANK($C14),INDIRECT(R$2&amp;"!F"&amp;$D55),"")</f>
        <v/>
      </c>
      <c r="S55" s="54" t="str" cm="1">
        <f t="array" aca="1" ref="S55" ca="1">IF(ISBLANK($C14),INDIRECT(S$2&amp;"!F"&amp;$D55),"")</f>
        <v/>
      </c>
      <c r="U55" s="50" t="str">
        <f t="shared" si="9"/>
        <v/>
      </c>
      <c r="V55" s="73" t="str">
        <f t="shared" si="10"/>
        <v/>
      </c>
      <c r="W55" s="50"/>
      <c r="X55" s="73" t="str">
        <f t="shared" si="11"/>
        <v/>
      </c>
      <c r="Y55" s="73" t="str">
        <f t="shared" si="12"/>
        <v/>
      </c>
      <c r="Z55" s="73"/>
    </row>
    <row r="56" spans="4:26" ht="15.5" hidden="1" x14ac:dyDescent="0.35">
      <c r="D56">
        <f t="shared" si="14"/>
        <v>14</v>
      </c>
      <c r="E56" s="54" t="str" cm="1">
        <f t="array" aca="1" ref="E56" ca="1">IF(ISBLANK($C15),INDIRECT(E$2&amp;"!F"&amp;$D56),"")</f>
        <v/>
      </c>
      <c r="F56" s="54" t="str" cm="1">
        <f t="array" aca="1" ref="F56" ca="1">IF(ISBLANK($C15),INDIRECT(F$2&amp;"!F"&amp;$D56),"")</f>
        <v/>
      </c>
      <c r="G56" s="54" t="str" cm="1">
        <f t="array" aca="1" ref="G56" ca="1">IF(ISBLANK($C15),INDIRECT(G$2&amp;"!F"&amp;$D56),"")</f>
        <v/>
      </c>
      <c r="H56" s="54" t="str" cm="1">
        <f t="array" aca="1" ref="H56" ca="1">IF(ISBLANK($C15),INDIRECT(H$2&amp;"!F"&amp;$D56),"")</f>
        <v/>
      </c>
      <c r="I56" s="54" t="str" cm="1">
        <f t="array" aca="1" ref="I56" ca="1">IF(ISBLANK($C15),INDIRECT(I$2&amp;"!F"&amp;$D56),"")</f>
        <v/>
      </c>
      <c r="J56" s="54" t="str" cm="1">
        <f t="array" aca="1" ref="J56" ca="1">IF(ISBLANK($C15),INDIRECT(J$2&amp;"!F"&amp;$D56),"")</f>
        <v/>
      </c>
      <c r="K56" s="54" t="str" cm="1">
        <f t="array" aca="1" ref="K56" ca="1">IF(ISBLANK($C15),INDIRECT(K$2&amp;"!F"&amp;$D56),"")</f>
        <v/>
      </c>
      <c r="L56" s="54" t="str" cm="1">
        <f t="array" aca="1" ref="L56" ca="1">IF(ISBLANK($C15),INDIRECT(L$2&amp;"!F"&amp;$D56),"")</f>
        <v/>
      </c>
      <c r="M56" s="54" t="str" cm="1">
        <f t="array" aca="1" ref="M56" ca="1">IF(ISBLANK($C15),INDIRECT(M$2&amp;"!F"&amp;$D56),"")</f>
        <v/>
      </c>
      <c r="N56" s="54" t="str" cm="1">
        <f t="array" aca="1" ref="N56" ca="1">IF(ISBLANK($C15),INDIRECT(N$2&amp;"!F"&amp;$D56),"")</f>
        <v/>
      </c>
      <c r="O56" s="54" t="str" cm="1">
        <f t="array" aca="1" ref="O56" ca="1">IF(ISBLANK($C15),INDIRECT(O$2&amp;"!F"&amp;$D56),"")</f>
        <v/>
      </c>
      <c r="P56" s="54" t="str" cm="1">
        <f t="array" aca="1" ref="P56" ca="1">IF(ISBLANK($C15),INDIRECT(P$2&amp;"!F"&amp;$D56),"")</f>
        <v/>
      </c>
      <c r="Q56" s="54" t="str" cm="1">
        <f t="array" aca="1" ref="Q56" ca="1">IF(ISBLANK($C15),INDIRECT(Q$2&amp;"!F"&amp;$D56),"")</f>
        <v/>
      </c>
      <c r="R56" s="54" t="str" cm="1">
        <f t="array" aca="1" ref="R56" ca="1">IF(ISBLANK($C15),INDIRECT(R$2&amp;"!F"&amp;$D56),"")</f>
        <v/>
      </c>
      <c r="S56" s="54" t="str" cm="1">
        <f t="array" aca="1" ref="S56" ca="1">IF(ISBLANK($C15),INDIRECT(S$2&amp;"!F"&amp;$D56),"")</f>
        <v/>
      </c>
      <c r="U56" s="50" t="str">
        <f t="shared" si="9"/>
        <v/>
      </c>
      <c r="V56" s="73" t="str">
        <f t="shared" si="10"/>
        <v/>
      </c>
      <c r="W56" s="50"/>
      <c r="X56" s="73" t="str">
        <f t="shared" si="11"/>
        <v/>
      </c>
      <c r="Y56" s="73" t="str">
        <f t="shared" si="12"/>
        <v/>
      </c>
      <c r="Z56" s="73"/>
    </row>
    <row r="57" spans="4:26" ht="15.5" hidden="1" x14ac:dyDescent="0.35">
      <c r="D57">
        <f t="shared" si="14"/>
        <v>15</v>
      </c>
      <c r="E57" s="54" t="str" cm="1">
        <f t="array" aca="1" ref="E57" ca="1">IF(ISBLANK($C16),INDIRECT(E$2&amp;"!F"&amp;$D57),"")</f>
        <v/>
      </c>
      <c r="F57" s="54" t="str" cm="1">
        <f t="array" aca="1" ref="F57" ca="1">IF(ISBLANK($C16),INDIRECT(F$2&amp;"!F"&amp;$D57),"")</f>
        <v/>
      </c>
      <c r="G57" s="54" t="str" cm="1">
        <f t="array" aca="1" ref="G57" ca="1">IF(ISBLANK($C16),INDIRECT(G$2&amp;"!F"&amp;$D57),"")</f>
        <v/>
      </c>
      <c r="H57" s="54" t="str" cm="1">
        <f t="array" aca="1" ref="H57" ca="1">IF(ISBLANK($C16),INDIRECT(H$2&amp;"!F"&amp;$D57),"")</f>
        <v/>
      </c>
      <c r="I57" s="54" t="str" cm="1">
        <f t="array" aca="1" ref="I57" ca="1">IF(ISBLANK($C16),INDIRECT(I$2&amp;"!F"&amp;$D57),"")</f>
        <v/>
      </c>
      <c r="J57" s="54" t="str" cm="1">
        <f t="array" aca="1" ref="J57" ca="1">IF(ISBLANK($C16),INDIRECT(J$2&amp;"!F"&amp;$D57),"")</f>
        <v/>
      </c>
      <c r="K57" s="54" t="str" cm="1">
        <f t="array" aca="1" ref="K57" ca="1">IF(ISBLANK($C16),INDIRECT(K$2&amp;"!F"&amp;$D57),"")</f>
        <v/>
      </c>
      <c r="L57" s="54" t="str" cm="1">
        <f t="array" aca="1" ref="L57" ca="1">IF(ISBLANK($C16),INDIRECT(L$2&amp;"!F"&amp;$D57),"")</f>
        <v/>
      </c>
      <c r="M57" s="54" t="str" cm="1">
        <f t="array" aca="1" ref="M57" ca="1">IF(ISBLANK($C16),INDIRECT(M$2&amp;"!F"&amp;$D57),"")</f>
        <v/>
      </c>
      <c r="N57" s="54" t="str" cm="1">
        <f t="array" aca="1" ref="N57" ca="1">IF(ISBLANK($C16),INDIRECT(N$2&amp;"!F"&amp;$D57),"")</f>
        <v/>
      </c>
      <c r="O57" s="54" t="str" cm="1">
        <f t="array" aca="1" ref="O57" ca="1">IF(ISBLANK($C16),INDIRECT(O$2&amp;"!F"&amp;$D57),"")</f>
        <v/>
      </c>
      <c r="P57" s="54" t="str" cm="1">
        <f t="array" aca="1" ref="P57" ca="1">IF(ISBLANK($C16),INDIRECT(P$2&amp;"!F"&amp;$D57),"")</f>
        <v/>
      </c>
      <c r="Q57" s="54" t="str" cm="1">
        <f t="array" aca="1" ref="Q57" ca="1">IF(ISBLANK($C16),INDIRECT(Q$2&amp;"!F"&amp;$D57),"")</f>
        <v/>
      </c>
      <c r="R57" s="54" t="str" cm="1">
        <f t="array" aca="1" ref="R57" ca="1">IF(ISBLANK($C16),INDIRECT(R$2&amp;"!F"&amp;$D57),"")</f>
        <v/>
      </c>
      <c r="S57" s="54" t="str" cm="1">
        <f t="array" aca="1" ref="S57" ca="1">IF(ISBLANK($C16),INDIRECT(S$2&amp;"!F"&amp;$D57),"")</f>
        <v/>
      </c>
      <c r="U57" s="50" t="str">
        <f t="shared" si="9"/>
        <v/>
      </c>
      <c r="V57" s="73" t="str">
        <f t="shared" si="10"/>
        <v/>
      </c>
      <c r="W57" s="50"/>
      <c r="X57" s="73" t="str">
        <f t="shared" si="11"/>
        <v/>
      </c>
      <c r="Y57" s="73" t="str">
        <f t="shared" si="12"/>
        <v/>
      </c>
      <c r="Z57" s="73"/>
    </row>
    <row r="58" spans="4:26" ht="15.5" hidden="1" x14ac:dyDescent="0.35">
      <c r="D58">
        <f t="shared" si="14"/>
        <v>16</v>
      </c>
      <c r="E58" s="54" t="str" cm="1">
        <f t="array" aca="1" ref="E58" ca="1">IF(ISBLANK($C17),INDIRECT(E$2&amp;"!F"&amp;$D58),"")</f>
        <v/>
      </c>
      <c r="F58" s="54" t="str" cm="1">
        <f t="array" aca="1" ref="F58" ca="1">IF(ISBLANK($C17),INDIRECT(F$2&amp;"!F"&amp;$D58),"")</f>
        <v/>
      </c>
      <c r="G58" s="54" t="str" cm="1">
        <f t="array" aca="1" ref="G58" ca="1">IF(ISBLANK($C17),INDIRECT(G$2&amp;"!F"&amp;$D58),"")</f>
        <v/>
      </c>
      <c r="H58" s="54" t="str" cm="1">
        <f t="array" aca="1" ref="H58" ca="1">IF(ISBLANK($C17),INDIRECT(H$2&amp;"!F"&amp;$D58),"")</f>
        <v/>
      </c>
      <c r="I58" s="54" t="str" cm="1">
        <f t="array" aca="1" ref="I58" ca="1">IF(ISBLANK($C17),INDIRECT(I$2&amp;"!F"&amp;$D58),"")</f>
        <v/>
      </c>
      <c r="J58" s="54" t="str" cm="1">
        <f t="array" aca="1" ref="J58" ca="1">IF(ISBLANK($C17),INDIRECT(J$2&amp;"!F"&amp;$D58),"")</f>
        <v/>
      </c>
      <c r="K58" s="54" t="str" cm="1">
        <f t="array" aca="1" ref="K58" ca="1">IF(ISBLANK($C17),INDIRECT(K$2&amp;"!F"&amp;$D58),"")</f>
        <v/>
      </c>
      <c r="L58" s="54" t="str" cm="1">
        <f t="array" aca="1" ref="L58" ca="1">IF(ISBLANK($C17),INDIRECT(L$2&amp;"!F"&amp;$D58),"")</f>
        <v/>
      </c>
      <c r="M58" s="54" t="str" cm="1">
        <f t="array" aca="1" ref="M58" ca="1">IF(ISBLANK($C17),INDIRECT(M$2&amp;"!F"&amp;$D58),"")</f>
        <v/>
      </c>
      <c r="N58" s="54" t="str" cm="1">
        <f t="array" aca="1" ref="N58" ca="1">IF(ISBLANK($C17),INDIRECT(N$2&amp;"!F"&amp;$D58),"")</f>
        <v/>
      </c>
      <c r="O58" s="54" t="str" cm="1">
        <f t="array" aca="1" ref="O58" ca="1">IF(ISBLANK($C17),INDIRECT(O$2&amp;"!F"&amp;$D58),"")</f>
        <v/>
      </c>
      <c r="P58" s="54" t="str" cm="1">
        <f t="array" aca="1" ref="P58" ca="1">IF(ISBLANK($C17),INDIRECT(P$2&amp;"!F"&amp;$D58),"")</f>
        <v/>
      </c>
      <c r="Q58" s="54" t="str" cm="1">
        <f t="array" aca="1" ref="Q58" ca="1">IF(ISBLANK($C17),INDIRECT(Q$2&amp;"!F"&amp;$D58),"")</f>
        <v/>
      </c>
      <c r="R58" s="54" t="str" cm="1">
        <f t="array" aca="1" ref="R58" ca="1">IF(ISBLANK($C17),INDIRECT(R$2&amp;"!F"&amp;$D58),"")</f>
        <v/>
      </c>
      <c r="S58" s="54" t="str" cm="1">
        <f t="array" aca="1" ref="S58" ca="1">IF(ISBLANK($C17),INDIRECT(S$2&amp;"!F"&amp;$D58),"")</f>
        <v/>
      </c>
      <c r="U58" s="50" t="str">
        <f t="shared" si="9"/>
        <v/>
      </c>
      <c r="V58" s="73" t="str">
        <f t="shared" si="10"/>
        <v/>
      </c>
      <c r="W58" s="50"/>
      <c r="X58" s="73" t="str">
        <f t="shared" si="11"/>
        <v/>
      </c>
      <c r="Y58" s="73" t="str">
        <f t="shared" si="12"/>
        <v/>
      </c>
      <c r="Z58" s="73"/>
    </row>
    <row r="59" spans="4:26" ht="15.5" hidden="1" x14ac:dyDescent="0.35">
      <c r="D59">
        <f t="shared" si="14"/>
        <v>17</v>
      </c>
      <c r="E59" s="54" t="str" cm="1">
        <f t="array" aca="1" ref="E59" ca="1">IF(ISBLANK($C18),INDIRECT(E$2&amp;"!F"&amp;$D59),"")</f>
        <v/>
      </c>
      <c r="F59" s="54" t="str" cm="1">
        <f t="array" aca="1" ref="F59" ca="1">IF(ISBLANK($C18),INDIRECT(F$2&amp;"!F"&amp;$D59),"")</f>
        <v/>
      </c>
      <c r="G59" s="54" t="str" cm="1">
        <f t="array" aca="1" ref="G59" ca="1">IF(ISBLANK($C18),INDIRECT(G$2&amp;"!F"&amp;$D59),"")</f>
        <v/>
      </c>
      <c r="H59" s="54" t="str" cm="1">
        <f t="array" aca="1" ref="H59" ca="1">IF(ISBLANK($C18),INDIRECT(H$2&amp;"!F"&amp;$D59),"")</f>
        <v/>
      </c>
      <c r="I59" s="54" t="str" cm="1">
        <f t="array" aca="1" ref="I59" ca="1">IF(ISBLANK($C18),INDIRECT(I$2&amp;"!F"&amp;$D59),"")</f>
        <v/>
      </c>
      <c r="J59" s="54" t="str" cm="1">
        <f t="array" aca="1" ref="J59" ca="1">IF(ISBLANK($C18),INDIRECT(J$2&amp;"!F"&amp;$D59),"")</f>
        <v/>
      </c>
      <c r="K59" s="54" t="str" cm="1">
        <f t="array" aca="1" ref="K59" ca="1">IF(ISBLANK($C18),INDIRECT(K$2&amp;"!F"&amp;$D59),"")</f>
        <v/>
      </c>
      <c r="L59" s="54" t="str" cm="1">
        <f t="array" aca="1" ref="L59" ca="1">IF(ISBLANK($C18),INDIRECT(L$2&amp;"!F"&amp;$D59),"")</f>
        <v/>
      </c>
      <c r="M59" s="54" t="str" cm="1">
        <f t="array" aca="1" ref="M59" ca="1">IF(ISBLANK($C18),INDIRECT(M$2&amp;"!F"&amp;$D59),"")</f>
        <v/>
      </c>
      <c r="N59" s="54" t="str" cm="1">
        <f t="array" aca="1" ref="N59" ca="1">IF(ISBLANK($C18),INDIRECT(N$2&amp;"!F"&amp;$D59),"")</f>
        <v/>
      </c>
      <c r="O59" s="54" t="str" cm="1">
        <f t="array" aca="1" ref="O59" ca="1">IF(ISBLANK($C18),INDIRECT(O$2&amp;"!F"&amp;$D59),"")</f>
        <v/>
      </c>
      <c r="P59" s="54" t="str" cm="1">
        <f t="array" aca="1" ref="P59" ca="1">IF(ISBLANK($C18),INDIRECT(P$2&amp;"!F"&amp;$D59),"")</f>
        <v/>
      </c>
      <c r="Q59" s="54" t="str" cm="1">
        <f t="array" aca="1" ref="Q59" ca="1">IF(ISBLANK($C18),INDIRECT(Q$2&amp;"!F"&amp;$D59),"")</f>
        <v/>
      </c>
      <c r="R59" s="54" t="str" cm="1">
        <f t="array" aca="1" ref="R59" ca="1">IF(ISBLANK($C18),INDIRECT(R$2&amp;"!F"&amp;$D59),"")</f>
        <v/>
      </c>
      <c r="S59" s="54" t="str" cm="1">
        <f t="array" aca="1" ref="S59" ca="1">IF(ISBLANK($C18),INDIRECT(S$2&amp;"!F"&amp;$D59),"")</f>
        <v/>
      </c>
      <c r="U59" s="50" t="str">
        <f t="shared" si="9"/>
        <v/>
      </c>
      <c r="V59" s="73" t="str">
        <f t="shared" si="10"/>
        <v/>
      </c>
      <c r="W59" s="50"/>
      <c r="X59" s="73" t="str">
        <f t="shared" si="11"/>
        <v/>
      </c>
      <c r="Y59" s="73" t="str">
        <f t="shared" si="12"/>
        <v/>
      </c>
      <c r="Z59" s="73"/>
    </row>
    <row r="60" spans="4:26" ht="15.5" hidden="1" x14ac:dyDescent="0.35">
      <c r="D60">
        <f t="shared" si="14"/>
        <v>18</v>
      </c>
      <c r="E60" s="54" t="str" cm="1">
        <f t="array" aca="1" ref="E60" ca="1">IF(ISBLANK($C19),INDIRECT(E$2&amp;"!F"&amp;$D60),"")</f>
        <v/>
      </c>
      <c r="F60" s="54" t="str" cm="1">
        <f t="array" aca="1" ref="F60" ca="1">IF(ISBLANK($C19),INDIRECT(F$2&amp;"!F"&amp;$D60),"")</f>
        <v/>
      </c>
      <c r="G60" s="54" t="str" cm="1">
        <f t="array" aca="1" ref="G60" ca="1">IF(ISBLANK($C19),INDIRECT(G$2&amp;"!F"&amp;$D60),"")</f>
        <v/>
      </c>
      <c r="H60" s="54" t="str" cm="1">
        <f t="array" aca="1" ref="H60" ca="1">IF(ISBLANK($C19),INDIRECT(H$2&amp;"!F"&amp;$D60),"")</f>
        <v/>
      </c>
      <c r="I60" s="54" t="str" cm="1">
        <f t="array" aca="1" ref="I60" ca="1">IF(ISBLANK($C19),INDIRECT(I$2&amp;"!F"&amp;$D60),"")</f>
        <v/>
      </c>
      <c r="J60" s="54" t="str" cm="1">
        <f t="array" aca="1" ref="J60" ca="1">IF(ISBLANK($C19),INDIRECT(J$2&amp;"!F"&amp;$D60),"")</f>
        <v/>
      </c>
      <c r="K60" s="54" t="str" cm="1">
        <f t="array" aca="1" ref="K60" ca="1">IF(ISBLANK($C19),INDIRECT(K$2&amp;"!F"&amp;$D60),"")</f>
        <v/>
      </c>
      <c r="L60" s="54" t="str" cm="1">
        <f t="array" aca="1" ref="L60" ca="1">IF(ISBLANK($C19),INDIRECT(L$2&amp;"!F"&amp;$D60),"")</f>
        <v/>
      </c>
      <c r="M60" s="54" t="str" cm="1">
        <f t="array" aca="1" ref="M60" ca="1">IF(ISBLANK($C19),INDIRECT(M$2&amp;"!F"&amp;$D60),"")</f>
        <v/>
      </c>
      <c r="N60" s="54" t="str" cm="1">
        <f t="array" aca="1" ref="N60" ca="1">IF(ISBLANK($C19),INDIRECT(N$2&amp;"!F"&amp;$D60),"")</f>
        <v/>
      </c>
      <c r="O60" s="54" t="str" cm="1">
        <f t="array" aca="1" ref="O60" ca="1">IF(ISBLANK($C19),INDIRECT(O$2&amp;"!F"&amp;$D60),"")</f>
        <v/>
      </c>
      <c r="P60" s="54" t="str" cm="1">
        <f t="array" aca="1" ref="P60" ca="1">IF(ISBLANK($C19),INDIRECT(P$2&amp;"!F"&amp;$D60),"")</f>
        <v/>
      </c>
      <c r="Q60" s="54" t="str" cm="1">
        <f t="array" aca="1" ref="Q60" ca="1">IF(ISBLANK($C19),INDIRECT(Q$2&amp;"!F"&amp;$D60),"")</f>
        <v/>
      </c>
      <c r="R60" s="54" t="str" cm="1">
        <f t="array" aca="1" ref="R60" ca="1">IF(ISBLANK($C19),INDIRECT(R$2&amp;"!F"&amp;$D60),"")</f>
        <v/>
      </c>
      <c r="S60" s="54" t="str" cm="1">
        <f t="array" aca="1" ref="S60" ca="1">IF(ISBLANK($C19),INDIRECT(S$2&amp;"!F"&amp;$D60),"")</f>
        <v/>
      </c>
      <c r="U60" s="50" t="str">
        <f t="shared" si="9"/>
        <v/>
      </c>
      <c r="V60" s="73" t="str">
        <f t="shared" si="10"/>
        <v/>
      </c>
      <c r="W60" s="50"/>
      <c r="X60" s="73" t="str">
        <f t="shared" si="11"/>
        <v/>
      </c>
      <c r="Y60" s="73" t="str">
        <f t="shared" si="12"/>
        <v/>
      </c>
      <c r="Z60" s="73"/>
    </row>
    <row r="61" spans="4:26" ht="15.5" hidden="1" x14ac:dyDescent="0.35">
      <c r="D61">
        <f t="shared" si="14"/>
        <v>19</v>
      </c>
      <c r="E61" s="54" t="str" cm="1">
        <f t="array" aca="1" ref="E61" ca="1">IF(ISBLANK($C20),INDIRECT(E$2&amp;"!F"&amp;$D61),"")</f>
        <v/>
      </c>
      <c r="F61" s="54" t="str" cm="1">
        <f t="array" aca="1" ref="F61" ca="1">IF(ISBLANK($C20),INDIRECT(F$2&amp;"!F"&amp;$D61),"")</f>
        <v/>
      </c>
      <c r="G61" s="54" t="str" cm="1">
        <f t="array" aca="1" ref="G61" ca="1">IF(ISBLANK($C20),INDIRECT(G$2&amp;"!F"&amp;$D61),"")</f>
        <v/>
      </c>
      <c r="H61" s="54" t="str" cm="1">
        <f t="array" aca="1" ref="H61" ca="1">IF(ISBLANK($C20),INDIRECT(H$2&amp;"!F"&amp;$D61),"")</f>
        <v/>
      </c>
      <c r="I61" s="54" t="str" cm="1">
        <f t="array" aca="1" ref="I61" ca="1">IF(ISBLANK($C20),INDIRECT(I$2&amp;"!F"&amp;$D61),"")</f>
        <v/>
      </c>
      <c r="J61" s="54" t="str" cm="1">
        <f t="array" aca="1" ref="J61" ca="1">IF(ISBLANK($C20),INDIRECT(J$2&amp;"!F"&amp;$D61),"")</f>
        <v/>
      </c>
      <c r="K61" s="54" t="str" cm="1">
        <f t="array" aca="1" ref="K61" ca="1">IF(ISBLANK($C20),INDIRECT(K$2&amp;"!F"&amp;$D61),"")</f>
        <v/>
      </c>
      <c r="L61" s="54" t="str" cm="1">
        <f t="array" aca="1" ref="L61" ca="1">IF(ISBLANK($C20),INDIRECT(L$2&amp;"!F"&amp;$D61),"")</f>
        <v/>
      </c>
      <c r="M61" s="54" t="str" cm="1">
        <f t="array" aca="1" ref="M61" ca="1">IF(ISBLANK($C20),INDIRECT(M$2&amp;"!F"&amp;$D61),"")</f>
        <v/>
      </c>
      <c r="N61" s="54" t="str" cm="1">
        <f t="array" aca="1" ref="N61" ca="1">IF(ISBLANK($C20),INDIRECT(N$2&amp;"!F"&amp;$D61),"")</f>
        <v/>
      </c>
      <c r="O61" s="54" t="str" cm="1">
        <f t="array" aca="1" ref="O61" ca="1">IF(ISBLANK($C20),INDIRECT(O$2&amp;"!F"&amp;$D61),"")</f>
        <v/>
      </c>
      <c r="P61" s="54" t="str" cm="1">
        <f t="array" aca="1" ref="P61" ca="1">IF(ISBLANK($C20),INDIRECT(P$2&amp;"!F"&amp;$D61),"")</f>
        <v/>
      </c>
      <c r="Q61" s="54" t="str" cm="1">
        <f t="array" aca="1" ref="Q61" ca="1">IF(ISBLANK($C20),INDIRECT(Q$2&amp;"!F"&amp;$D61),"")</f>
        <v/>
      </c>
      <c r="R61" s="54" t="str" cm="1">
        <f t="array" aca="1" ref="R61" ca="1">IF(ISBLANK($C20),INDIRECT(R$2&amp;"!F"&amp;$D61),"")</f>
        <v/>
      </c>
      <c r="S61" s="54" t="str" cm="1">
        <f t="array" aca="1" ref="S61" ca="1">IF(ISBLANK($C20),INDIRECT(S$2&amp;"!F"&amp;$D61),"")</f>
        <v/>
      </c>
      <c r="U61" s="50" t="str">
        <f t="shared" si="9"/>
        <v/>
      </c>
      <c r="V61" s="73" t="str">
        <f t="shared" si="10"/>
        <v/>
      </c>
      <c r="W61" s="50"/>
      <c r="X61" s="73" t="str">
        <f t="shared" si="11"/>
        <v/>
      </c>
      <c r="Y61" s="73" t="str">
        <f t="shared" si="12"/>
        <v/>
      </c>
      <c r="Z61" s="73"/>
    </row>
    <row r="62" spans="4:26" ht="15.5" hidden="1" x14ac:dyDescent="0.35">
      <c r="D62">
        <f t="shared" si="14"/>
        <v>20</v>
      </c>
      <c r="E62" s="54" t="str" cm="1">
        <f t="array" aca="1" ref="E62" ca="1">IF(ISBLANK($C21),INDIRECT(E$2&amp;"!F"&amp;$D62),"")</f>
        <v/>
      </c>
      <c r="F62" s="54" t="str" cm="1">
        <f t="array" aca="1" ref="F62" ca="1">IF(ISBLANK($C21),INDIRECT(F$2&amp;"!F"&amp;$D62),"")</f>
        <v/>
      </c>
      <c r="G62" s="54" t="str" cm="1">
        <f t="array" aca="1" ref="G62" ca="1">IF(ISBLANK($C21),INDIRECT(G$2&amp;"!F"&amp;$D62),"")</f>
        <v/>
      </c>
      <c r="H62" s="54" t="str" cm="1">
        <f t="array" aca="1" ref="H62" ca="1">IF(ISBLANK($C21),INDIRECT(H$2&amp;"!F"&amp;$D62),"")</f>
        <v/>
      </c>
      <c r="I62" s="54" t="str" cm="1">
        <f t="array" aca="1" ref="I62" ca="1">IF(ISBLANK($C21),INDIRECT(I$2&amp;"!F"&amp;$D62),"")</f>
        <v/>
      </c>
      <c r="J62" s="54" t="str" cm="1">
        <f t="array" aca="1" ref="J62" ca="1">IF(ISBLANK($C21),INDIRECT(J$2&amp;"!F"&amp;$D62),"")</f>
        <v/>
      </c>
      <c r="K62" s="54" t="str" cm="1">
        <f t="array" aca="1" ref="K62" ca="1">IF(ISBLANK($C21),INDIRECT(K$2&amp;"!F"&amp;$D62),"")</f>
        <v/>
      </c>
      <c r="L62" s="54" t="str" cm="1">
        <f t="array" aca="1" ref="L62" ca="1">IF(ISBLANK($C21),INDIRECT(L$2&amp;"!F"&amp;$D62),"")</f>
        <v/>
      </c>
      <c r="M62" s="54" t="str" cm="1">
        <f t="array" aca="1" ref="M62" ca="1">IF(ISBLANK($C21),INDIRECT(M$2&amp;"!F"&amp;$D62),"")</f>
        <v/>
      </c>
      <c r="N62" s="54" t="str" cm="1">
        <f t="array" aca="1" ref="N62" ca="1">IF(ISBLANK($C21),INDIRECT(N$2&amp;"!F"&amp;$D62),"")</f>
        <v/>
      </c>
      <c r="O62" s="54" t="str" cm="1">
        <f t="array" aca="1" ref="O62" ca="1">IF(ISBLANK($C21),INDIRECT(O$2&amp;"!F"&amp;$D62),"")</f>
        <v/>
      </c>
      <c r="P62" s="54" t="str" cm="1">
        <f t="array" aca="1" ref="P62" ca="1">IF(ISBLANK($C21),INDIRECT(P$2&amp;"!F"&amp;$D62),"")</f>
        <v/>
      </c>
      <c r="Q62" s="54" t="str" cm="1">
        <f t="array" aca="1" ref="Q62" ca="1">IF(ISBLANK($C21),INDIRECT(Q$2&amp;"!F"&amp;$D62),"")</f>
        <v/>
      </c>
      <c r="R62" s="54" t="str" cm="1">
        <f t="array" aca="1" ref="R62" ca="1">IF(ISBLANK($C21),INDIRECT(R$2&amp;"!F"&amp;$D62),"")</f>
        <v/>
      </c>
      <c r="S62" s="54" t="str" cm="1">
        <f t="array" aca="1" ref="S62" ca="1">IF(ISBLANK($C21),INDIRECT(S$2&amp;"!F"&amp;$D62),"")</f>
        <v/>
      </c>
      <c r="U62" s="50" t="str">
        <f t="shared" si="9"/>
        <v/>
      </c>
      <c r="V62" s="73" t="str">
        <f t="shared" si="10"/>
        <v/>
      </c>
      <c r="W62" s="50"/>
      <c r="X62" s="73" t="str">
        <f t="shared" si="11"/>
        <v/>
      </c>
      <c r="Y62" s="73" t="str">
        <f t="shared" si="12"/>
        <v/>
      </c>
      <c r="Z62" s="73"/>
    </row>
    <row r="63" spans="4:26" ht="15.5" hidden="1" x14ac:dyDescent="0.35">
      <c r="D63">
        <f t="shared" si="14"/>
        <v>21</v>
      </c>
      <c r="E63" s="54" t="str" cm="1">
        <f t="array" aca="1" ref="E63" ca="1">IF(ISBLANK($C22),INDIRECT(E$2&amp;"!F"&amp;$D63),"")</f>
        <v/>
      </c>
      <c r="F63" s="54" t="str" cm="1">
        <f t="array" aca="1" ref="F63" ca="1">IF(ISBLANK($C22),INDIRECT(F$2&amp;"!F"&amp;$D63),"")</f>
        <v/>
      </c>
      <c r="G63" s="54" t="str" cm="1">
        <f t="array" aca="1" ref="G63" ca="1">IF(ISBLANK($C22),INDIRECT(G$2&amp;"!F"&amp;$D63),"")</f>
        <v/>
      </c>
      <c r="H63" s="54" t="str" cm="1">
        <f t="array" aca="1" ref="H63" ca="1">IF(ISBLANK($C22),INDIRECT(H$2&amp;"!F"&amp;$D63),"")</f>
        <v/>
      </c>
      <c r="I63" s="54" t="str" cm="1">
        <f t="array" aca="1" ref="I63" ca="1">IF(ISBLANK($C22),INDIRECT(I$2&amp;"!F"&amp;$D63),"")</f>
        <v/>
      </c>
      <c r="J63" s="54" t="str" cm="1">
        <f t="array" aca="1" ref="J63" ca="1">IF(ISBLANK($C22),INDIRECT(J$2&amp;"!F"&amp;$D63),"")</f>
        <v/>
      </c>
      <c r="K63" s="54" t="str" cm="1">
        <f t="array" aca="1" ref="K63" ca="1">IF(ISBLANK($C22),INDIRECT(K$2&amp;"!F"&amp;$D63),"")</f>
        <v/>
      </c>
      <c r="L63" s="54" t="str" cm="1">
        <f t="array" aca="1" ref="L63" ca="1">IF(ISBLANK($C22),INDIRECT(L$2&amp;"!F"&amp;$D63),"")</f>
        <v/>
      </c>
      <c r="M63" s="54" t="str" cm="1">
        <f t="array" aca="1" ref="M63" ca="1">IF(ISBLANK($C22),INDIRECT(M$2&amp;"!F"&amp;$D63),"")</f>
        <v/>
      </c>
      <c r="N63" s="54" t="str" cm="1">
        <f t="array" aca="1" ref="N63" ca="1">IF(ISBLANK($C22),INDIRECT(N$2&amp;"!F"&amp;$D63),"")</f>
        <v/>
      </c>
      <c r="O63" s="54" t="str" cm="1">
        <f t="array" aca="1" ref="O63" ca="1">IF(ISBLANK($C22),INDIRECT(O$2&amp;"!F"&amp;$D63),"")</f>
        <v/>
      </c>
      <c r="P63" s="54" t="str" cm="1">
        <f t="array" aca="1" ref="P63" ca="1">IF(ISBLANK($C22),INDIRECT(P$2&amp;"!F"&amp;$D63),"")</f>
        <v/>
      </c>
      <c r="Q63" s="54" t="str" cm="1">
        <f t="array" aca="1" ref="Q63" ca="1">IF(ISBLANK($C22),INDIRECT(Q$2&amp;"!F"&amp;$D63),"")</f>
        <v/>
      </c>
      <c r="R63" s="54" t="str" cm="1">
        <f t="array" aca="1" ref="R63" ca="1">IF(ISBLANK($C22),INDIRECT(R$2&amp;"!F"&amp;$D63),"")</f>
        <v/>
      </c>
      <c r="S63" s="54" t="str" cm="1">
        <f t="array" aca="1" ref="S63" ca="1">IF(ISBLANK($C22),INDIRECT(S$2&amp;"!F"&amp;$D63),"")</f>
        <v/>
      </c>
      <c r="U63" s="50" t="str">
        <f t="shared" si="9"/>
        <v/>
      </c>
      <c r="V63" s="73" t="str">
        <f t="shared" si="10"/>
        <v/>
      </c>
      <c r="W63" s="50"/>
      <c r="X63" s="73" t="str">
        <f t="shared" si="11"/>
        <v/>
      </c>
      <c r="Y63" s="73" t="str">
        <f t="shared" si="12"/>
        <v/>
      </c>
      <c r="Z63" s="73"/>
    </row>
    <row r="64" spans="4:26" ht="15.5" hidden="1" x14ac:dyDescent="0.35">
      <c r="D64">
        <f t="shared" si="14"/>
        <v>22</v>
      </c>
      <c r="E64" s="54" t="str" cm="1">
        <f t="array" aca="1" ref="E64" ca="1">IF(ISBLANK($C23),INDIRECT(E$2&amp;"!F"&amp;$D64),"")</f>
        <v/>
      </c>
      <c r="F64" s="54" t="str" cm="1">
        <f t="array" aca="1" ref="F64" ca="1">IF(ISBLANK($C23),INDIRECT(F$2&amp;"!F"&amp;$D64),"")</f>
        <v/>
      </c>
      <c r="G64" s="54" t="str" cm="1">
        <f t="array" aca="1" ref="G64" ca="1">IF(ISBLANK($C23),INDIRECT(G$2&amp;"!F"&amp;$D64),"")</f>
        <v/>
      </c>
      <c r="H64" s="54" t="str" cm="1">
        <f t="array" aca="1" ref="H64" ca="1">IF(ISBLANK($C23),INDIRECT(H$2&amp;"!F"&amp;$D64),"")</f>
        <v/>
      </c>
      <c r="I64" s="54" t="str" cm="1">
        <f t="array" aca="1" ref="I64" ca="1">IF(ISBLANK($C23),INDIRECT(I$2&amp;"!F"&amp;$D64),"")</f>
        <v/>
      </c>
      <c r="J64" s="54" t="str" cm="1">
        <f t="array" aca="1" ref="J64" ca="1">IF(ISBLANK($C23),INDIRECT(J$2&amp;"!F"&amp;$D64),"")</f>
        <v/>
      </c>
      <c r="K64" s="54" t="str" cm="1">
        <f t="array" aca="1" ref="K64" ca="1">IF(ISBLANK($C23),INDIRECT(K$2&amp;"!F"&amp;$D64),"")</f>
        <v/>
      </c>
      <c r="L64" s="54" t="str" cm="1">
        <f t="array" aca="1" ref="L64" ca="1">IF(ISBLANK($C23),INDIRECT(L$2&amp;"!F"&amp;$D64),"")</f>
        <v/>
      </c>
      <c r="M64" s="54" t="str" cm="1">
        <f t="array" aca="1" ref="M64" ca="1">IF(ISBLANK($C23),INDIRECT(M$2&amp;"!F"&amp;$D64),"")</f>
        <v/>
      </c>
      <c r="N64" s="54" t="str" cm="1">
        <f t="array" aca="1" ref="N64" ca="1">IF(ISBLANK($C23),INDIRECT(N$2&amp;"!F"&amp;$D64),"")</f>
        <v/>
      </c>
      <c r="O64" s="54" t="str" cm="1">
        <f t="array" aca="1" ref="O64" ca="1">IF(ISBLANK($C23),INDIRECT(O$2&amp;"!F"&amp;$D64),"")</f>
        <v/>
      </c>
      <c r="P64" s="54" t="str" cm="1">
        <f t="array" aca="1" ref="P64" ca="1">IF(ISBLANK($C23),INDIRECT(P$2&amp;"!F"&amp;$D64),"")</f>
        <v/>
      </c>
      <c r="Q64" s="54" t="str" cm="1">
        <f t="array" aca="1" ref="Q64" ca="1">IF(ISBLANK($C23),INDIRECT(Q$2&amp;"!F"&amp;$D64),"")</f>
        <v/>
      </c>
      <c r="R64" s="54" t="str" cm="1">
        <f t="array" aca="1" ref="R64" ca="1">IF(ISBLANK($C23),INDIRECT(R$2&amp;"!F"&amp;$D64),"")</f>
        <v/>
      </c>
      <c r="S64" s="54" t="str" cm="1">
        <f t="array" aca="1" ref="S64" ca="1">IF(ISBLANK($C23),INDIRECT(S$2&amp;"!F"&amp;$D64),"")</f>
        <v/>
      </c>
      <c r="U64" s="50" t="str">
        <f t="shared" si="9"/>
        <v/>
      </c>
      <c r="V64" s="73" t="str">
        <f t="shared" si="10"/>
        <v/>
      </c>
      <c r="W64" s="50"/>
      <c r="X64" s="73" t="str">
        <f t="shared" si="11"/>
        <v/>
      </c>
      <c r="Y64" s="73" t="str">
        <f t="shared" si="12"/>
        <v/>
      </c>
      <c r="Z64" s="73"/>
    </row>
    <row r="65" spans="4:26" ht="15.5" hidden="1" x14ac:dyDescent="0.35">
      <c r="D65">
        <f t="shared" si="14"/>
        <v>23</v>
      </c>
      <c r="E65" s="54" t="str" cm="1">
        <f t="array" aca="1" ref="E65" ca="1">IF(ISBLANK($C24),INDIRECT(E$2&amp;"!F"&amp;$D65),"")</f>
        <v/>
      </c>
      <c r="F65" s="54" t="str" cm="1">
        <f t="array" aca="1" ref="F65" ca="1">IF(ISBLANK($C24),INDIRECT(F$2&amp;"!F"&amp;$D65),"")</f>
        <v/>
      </c>
      <c r="G65" s="54" t="str" cm="1">
        <f t="array" aca="1" ref="G65" ca="1">IF(ISBLANK($C24),INDIRECT(G$2&amp;"!F"&amp;$D65),"")</f>
        <v/>
      </c>
      <c r="H65" s="54" t="str" cm="1">
        <f t="array" aca="1" ref="H65" ca="1">IF(ISBLANK($C24),INDIRECT(H$2&amp;"!F"&amp;$D65),"")</f>
        <v/>
      </c>
      <c r="I65" s="54" t="str" cm="1">
        <f t="array" aca="1" ref="I65" ca="1">IF(ISBLANK($C24),INDIRECT(I$2&amp;"!F"&amp;$D65),"")</f>
        <v/>
      </c>
      <c r="J65" s="54" t="str" cm="1">
        <f t="array" aca="1" ref="J65" ca="1">IF(ISBLANK($C24),INDIRECT(J$2&amp;"!F"&amp;$D65),"")</f>
        <v/>
      </c>
      <c r="K65" s="54" t="str" cm="1">
        <f t="array" aca="1" ref="K65" ca="1">IF(ISBLANK($C24),INDIRECT(K$2&amp;"!F"&amp;$D65),"")</f>
        <v/>
      </c>
      <c r="L65" s="54" t="str" cm="1">
        <f t="array" aca="1" ref="L65" ca="1">IF(ISBLANK($C24),INDIRECT(L$2&amp;"!F"&amp;$D65),"")</f>
        <v/>
      </c>
      <c r="M65" s="54" t="str" cm="1">
        <f t="array" aca="1" ref="M65" ca="1">IF(ISBLANK($C24),INDIRECT(M$2&amp;"!F"&amp;$D65),"")</f>
        <v/>
      </c>
      <c r="N65" s="54" t="str" cm="1">
        <f t="array" aca="1" ref="N65" ca="1">IF(ISBLANK($C24),INDIRECT(N$2&amp;"!F"&amp;$D65),"")</f>
        <v/>
      </c>
      <c r="O65" s="54" t="str" cm="1">
        <f t="array" aca="1" ref="O65" ca="1">IF(ISBLANK($C24),INDIRECT(O$2&amp;"!F"&amp;$D65),"")</f>
        <v/>
      </c>
      <c r="P65" s="54" t="str" cm="1">
        <f t="array" aca="1" ref="P65" ca="1">IF(ISBLANK($C24),INDIRECT(P$2&amp;"!F"&amp;$D65),"")</f>
        <v/>
      </c>
      <c r="Q65" s="54" t="str" cm="1">
        <f t="array" aca="1" ref="Q65" ca="1">IF(ISBLANK($C24),INDIRECT(Q$2&amp;"!F"&amp;$D65),"")</f>
        <v/>
      </c>
      <c r="R65" s="54" t="str" cm="1">
        <f t="array" aca="1" ref="R65" ca="1">IF(ISBLANK($C24),INDIRECT(R$2&amp;"!F"&amp;$D65),"")</f>
        <v/>
      </c>
      <c r="S65" s="54" t="str" cm="1">
        <f t="array" aca="1" ref="S65" ca="1">IF(ISBLANK($C24),INDIRECT(S$2&amp;"!F"&amp;$D65),"")</f>
        <v/>
      </c>
      <c r="U65" s="50" t="str">
        <f t="shared" si="9"/>
        <v/>
      </c>
      <c r="V65" s="73" t="str">
        <f t="shared" si="10"/>
        <v/>
      </c>
      <c r="W65" s="50"/>
      <c r="X65" s="73" t="str">
        <f t="shared" si="11"/>
        <v/>
      </c>
      <c r="Y65" s="73" t="str">
        <f t="shared" si="12"/>
        <v/>
      </c>
      <c r="Z65" s="73"/>
    </row>
    <row r="66" spans="4:26" ht="15.5" hidden="1" x14ac:dyDescent="0.35">
      <c r="D66">
        <f t="shared" si="14"/>
        <v>24</v>
      </c>
      <c r="E66" s="54" t="str" cm="1">
        <f t="array" aca="1" ref="E66" ca="1">IF(ISBLANK($C25),INDIRECT(E$2&amp;"!F"&amp;$D66),"")</f>
        <v/>
      </c>
      <c r="F66" s="54" t="str" cm="1">
        <f t="array" aca="1" ref="F66" ca="1">IF(ISBLANK($C25),INDIRECT(F$2&amp;"!F"&amp;$D66),"")</f>
        <v/>
      </c>
      <c r="G66" s="54" t="str" cm="1">
        <f t="array" aca="1" ref="G66" ca="1">IF(ISBLANK($C25),INDIRECT(G$2&amp;"!F"&amp;$D66),"")</f>
        <v/>
      </c>
      <c r="H66" s="54" t="str" cm="1">
        <f t="array" aca="1" ref="H66" ca="1">IF(ISBLANK($C25),INDIRECT(H$2&amp;"!F"&amp;$D66),"")</f>
        <v/>
      </c>
      <c r="I66" s="54" t="str" cm="1">
        <f t="array" aca="1" ref="I66" ca="1">IF(ISBLANK($C25),INDIRECT(I$2&amp;"!F"&amp;$D66),"")</f>
        <v/>
      </c>
      <c r="J66" s="54" t="str" cm="1">
        <f t="array" aca="1" ref="J66" ca="1">IF(ISBLANK($C25),INDIRECT(J$2&amp;"!F"&amp;$D66),"")</f>
        <v/>
      </c>
      <c r="K66" s="54" t="str" cm="1">
        <f t="array" aca="1" ref="K66" ca="1">IF(ISBLANK($C25),INDIRECT(K$2&amp;"!F"&amp;$D66),"")</f>
        <v/>
      </c>
      <c r="L66" s="54" t="str" cm="1">
        <f t="array" aca="1" ref="L66" ca="1">IF(ISBLANK($C25),INDIRECT(L$2&amp;"!F"&amp;$D66),"")</f>
        <v/>
      </c>
      <c r="M66" s="54" t="str" cm="1">
        <f t="array" aca="1" ref="M66" ca="1">IF(ISBLANK($C25),INDIRECT(M$2&amp;"!F"&amp;$D66),"")</f>
        <v/>
      </c>
      <c r="N66" s="54" t="str" cm="1">
        <f t="array" aca="1" ref="N66" ca="1">IF(ISBLANK($C25),INDIRECT(N$2&amp;"!F"&amp;$D66),"")</f>
        <v/>
      </c>
      <c r="O66" s="54" t="str" cm="1">
        <f t="array" aca="1" ref="O66" ca="1">IF(ISBLANK($C25),INDIRECT(O$2&amp;"!F"&amp;$D66),"")</f>
        <v/>
      </c>
      <c r="P66" s="54" t="str" cm="1">
        <f t="array" aca="1" ref="P66" ca="1">IF(ISBLANK($C25),INDIRECT(P$2&amp;"!F"&amp;$D66),"")</f>
        <v/>
      </c>
      <c r="Q66" s="54" t="str" cm="1">
        <f t="array" aca="1" ref="Q66" ca="1">IF(ISBLANK($C25),INDIRECT(Q$2&amp;"!F"&amp;$D66),"")</f>
        <v/>
      </c>
      <c r="R66" s="54" t="str" cm="1">
        <f t="array" aca="1" ref="R66" ca="1">IF(ISBLANK($C25),INDIRECT(R$2&amp;"!F"&amp;$D66),"")</f>
        <v/>
      </c>
      <c r="S66" s="54" t="str" cm="1">
        <f t="array" aca="1" ref="S66" ca="1">IF(ISBLANK($C25),INDIRECT(S$2&amp;"!F"&amp;$D66),"")</f>
        <v/>
      </c>
      <c r="U66" s="50" t="str">
        <f t="shared" si="9"/>
        <v/>
      </c>
      <c r="V66" s="73" t="str">
        <f t="shared" si="10"/>
        <v/>
      </c>
      <c r="W66" s="50"/>
      <c r="X66" s="73" t="str">
        <f t="shared" si="11"/>
        <v/>
      </c>
      <c r="Y66" s="73" t="str">
        <f t="shared" si="12"/>
        <v/>
      </c>
      <c r="Z66" s="73"/>
    </row>
    <row r="67" spans="4:26" ht="15.5" hidden="1" x14ac:dyDescent="0.35">
      <c r="D67">
        <f t="shared" si="14"/>
        <v>25</v>
      </c>
      <c r="E67" s="54" t="str" cm="1">
        <f t="array" aca="1" ref="E67" ca="1">IF(ISBLANK($C26),INDIRECT(E$2&amp;"!F"&amp;$D67),"")</f>
        <v/>
      </c>
      <c r="F67" s="54" t="str" cm="1">
        <f t="array" aca="1" ref="F67" ca="1">IF(ISBLANK($C26),INDIRECT(F$2&amp;"!F"&amp;$D67),"")</f>
        <v/>
      </c>
      <c r="G67" s="54" t="str" cm="1">
        <f t="array" aca="1" ref="G67" ca="1">IF(ISBLANK($C26),INDIRECT(G$2&amp;"!F"&amp;$D67),"")</f>
        <v/>
      </c>
      <c r="H67" s="54" t="str" cm="1">
        <f t="array" aca="1" ref="H67" ca="1">IF(ISBLANK($C26),INDIRECT(H$2&amp;"!F"&amp;$D67),"")</f>
        <v/>
      </c>
      <c r="I67" s="54" t="str" cm="1">
        <f t="array" aca="1" ref="I67" ca="1">IF(ISBLANK($C26),INDIRECT(I$2&amp;"!F"&amp;$D67),"")</f>
        <v/>
      </c>
      <c r="J67" s="54" t="str" cm="1">
        <f t="array" aca="1" ref="J67" ca="1">IF(ISBLANK($C26),INDIRECT(J$2&amp;"!F"&amp;$D67),"")</f>
        <v/>
      </c>
      <c r="K67" s="54" t="str" cm="1">
        <f t="array" aca="1" ref="K67" ca="1">IF(ISBLANK($C26),INDIRECT(K$2&amp;"!F"&amp;$D67),"")</f>
        <v/>
      </c>
      <c r="L67" s="54" t="str" cm="1">
        <f t="array" aca="1" ref="L67" ca="1">IF(ISBLANK($C26),INDIRECT(L$2&amp;"!F"&amp;$D67),"")</f>
        <v/>
      </c>
      <c r="M67" s="54" t="str" cm="1">
        <f t="array" aca="1" ref="M67" ca="1">IF(ISBLANK($C26),INDIRECT(M$2&amp;"!F"&amp;$D67),"")</f>
        <v/>
      </c>
      <c r="N67" s="54" t="str" cm="1">
        <f t="array" aca="1" ref="N67" ca="1">IF(ISBLANK($C26),INDIRECT(N$2&amp;"!F"&amp;$D67),"")</f>
        <v/>
      </c>
      <c r="O67" s="54" t="str" cm="1">
        <f t="array" aca="1" ref="O67" ca="1">IF(ISBLANK($C26),INDIRECT(O$2&amp;"!F"&amp;$D67),"")</f>
        <v/>
      </c>
      <c r="P67" s="54" t="str" cm="1">
        <f t="array" aca="1" ref="P67" ca="1">IF(ISBLANK($C26),INDIRECT(P$2&amp;"!F"&amp;$D67),"")</f>
        <v/>
      </c>
      <c r="Q67" s="54" t="str" cm="1">
        <f t="array" aca="1" ref="Q67" ca="1">IF(ISBLANK($C26),INDIRECT(Q$2&amp;"!F"&amp;$D67),"")</f>
        <v/>
      </c>
      <c r="R67" s="54" t="str" cm="1">
        <f t="array" aca="1" ref="R67" ca="1">IF(ISBLANK($C26),INDIRECT(R$2&amp;"!F"&amp;$D67),"")</f>
        <v/>
      </c>
      <c r="S67" s="54" t="str" cm="1">
        <f t="array" aca="1" ref="S67" ca="1">IF(ISBLANK($C26),INDIRECT(S$2&amp;"!F"&amp;$D67),"")</f>
        <v/>
      </c>
      <c r="U67" s="50" t="str">
        <f t="shared" si="9"/>
        <v/>
      </c>
      <c r="V67" s="73" t="str">
        <f t="shared" si="10"/>
        <v/>
      </c>
      <c r="W67" s="50"/>
      <c r="X67" s="73" t="str">
        <f t="shared" si="11"/>
        <v/>
      </c>
      <c r="Y67" s="73" t="str">
        <f t="shared" si="12"/>
        <v/>
      </c>
      <c r="Z67" s="73"/>
    </row>
    <row r="68" spans="4:26" ht="15.5" hidden="1" x14ac:dyDescent="0.35">
      <c r="D68">
        <f t="shared" si="14"/>
        <v>26</v>
      </c>
      <c r="E68" s="54" t="str" cm="1">
        <f t="array" aca="1" ref="E68" ca="1">IF(ISBLANK($C27),INDIRECT(E$2&amp;"!F"&amp;$D68),"")</f>
        <v/>
      </c>
      <c r="F68" s="54" t="str" cm="1">
        <f t="array" aca="1" ref="F68" ca="1">IF(ISBLANK($C27),INDIRECT(F$2&amp;"!F"&amp;$D68),"")</f>
        <v/>
      </c>
      <c r="G68" s="54" t="str" cm="1">
        <f t="array" aca="1" ref="G68" ca="1">IF(ISBLANK($C27),INDIRECT(G$2&amp;"!F"&amp;$D68),"")</f>
        <v/>
      </c>
      <c r="H68" s="54" t="str" cm="1">
        <f t="array" aca="1" ref="H68" ca="1">IF(ISBLANK($C27),INDIRECT(H$2&amp;"!F"&amp;$D68),"")</f>
        <v/>
      </c>
      <c r="I68" s="54" t="str" cm="1">
        <f t="array" aca="1" ref="I68" ca="1">IF(ISBLANK($C27),INDIRECT(I$2&amp;"!F"&amp;$D68),"")</f>
        <v/>
      </c>
      <c r="J68" s="54" t="str" cm="1">
        <f t="array" aca="1" ref="J68" ca="1">IF(ISBLANK($C27),INDIRECT(J$2&amp;"!F"&amp;$D68),"")</f>
        <v/>
      </c>
      <c r="K68" s="54" t="str" cm="1">
        <f t="array" aca="1" ref="K68" ca="1">IF(ISBLANK($C27),INDIRECT(K$2&amp;"!F"&amp;$D68),"")</f>
        <v/>
      </c>
      <c r="L68" s="54" t="str" cm="1">
        <f t="array" aca="1" ref="L68" ca="1">IF(ISBLANK($C27),INDIRECT(L$2&amp;"!F"&amp;$D68),"")</f>
        <v/>
      </c>
      <c r="M68" s="54" t="str" cm="1">
        <f t="array" aca="1" ref="M68" ca="1">IF(ISBLANK($C27),INDIRECT(M$2&amp;"!F"&amp;$D68),"")</f>
        <v/>
      </c>
      <c r="N68" s="54" t="str" cm="1">
        <f t="array" aca="1" ref="N68" ca="1">IF(ISBLANK($C27),INDIRECT(N$2&amp;"!F"&amp;$D68),"")</f>
        <v/>
      </c>
      <c r="O68" s="54" t="str" cm="1">
        <f t="array" aca="1" ref="O68" ca="1">IF(ISBLANK($C27),INDIRECT(O$2&amp;"!F"&amp;$D68),"")</f>
        <v/>
      </c>
      <c r="P68" s="54" t="str" cm="1">
        <f t="array" aca="1" ref="P68" ca="1">IF(ISBLANK($C27),INDIRECT(P$2&amp;"!F"&amp;$D68),"")</f>
        <v/>
      </c>
      <c r="Q68" s="54" t="str" cm="1">
        <f t="array" aca="1" ref="Q68" ca="1">IF(ISBLANK($C27),INDIRECT(Q$2&amp;"!F"&amp;$D68),"")</f>
        <v/>
      </c>
      <c r="R68" s="54" t="str" cm="1">
        <f t="array" aca="1" ref="R68" ca="1">IF(ISBLANK($C27),INDIRECT(R$2&amp;"!F"&amp;$D68),"")</f>
        <v/>
      </c>
      <c r="S68" s="54" t="str" cm="1">
        <f t="array" aca="1" ref="S68" ca="1">IF(ISBLANK($C27),INDIRECT(S$2&amp;"!F"&amp;$D68),"")</f>
        <v/>
      </c>
      <c r="U68" s="50" t="str">
        <f t="shared" si="9"/>
        <v/>
      </c>
      <c r="V68" s="73" t="str">
        <f t="shared" si="10"/>
        <v/>
      </c>
      <c r="W68" s="50"/>
      <c r="X68" s="73" t="str">
        <f t="shared" si="11"/>
        <v/>
      </c>
      <c r="Y68" s="73" t="str">
        <f t="shared" si="12"/>
        <v/>
      </c>
      <c r="Z68" s="73"/>
    </row>
    <row r="69" spans="4:26" ht="15.5" hidden="1" x14ac:dyDescent="0.35">
      <c r="D69">
        <f t="shared" si="14"/>
        <v>27</v>
      </c>
      <c r="E69" s="54" t="str" cm="1">
        <f t="array" aca="1" ref="E69" ca="1">IF(ISBLANK($C28),INDIRECT(E$2&amp;"!F"&amp;$D69),"")</f>
        <v/>
      </c>
      <c r="F69" s="54" t="str" cm="1">
        <f t="array" aca="1" ref="F69" ca="1">IF(ISBLANK($C28),INDIRECT(F$2&amp;"!F"&amp;$D69),"")</f>
        <v/>
      </c>
      <c r="G69" s="54" t="str" cm="1">
        <f t="array" aca="1" ref="G69" ca="1">IF(ISBLANK($C28),INDIRECT(G$2&amp;"!F"&amp;$D69),"")</f>
        <v/>
      </c>
      <c r="H69" s="54" t="str" cm="1">
        <f t="array" aca="1" ref="H69" ca="1">IF(ISBLANK($C28),INDIRECT(H$2&amp;"!F"&amp;$D69),"")</f>
        <v/>
      </c>
      <c r="I69" s="54" t="str" cm="1">
        <f t="array" aca="1" ref="I69" ca="1">IF(ISBLANK($C28),INDIRECT(I$2&amp;"!F"&amp;$D69),"")</f>
        <v/>
      </c>
      <c r="J69" s="54" t="str" cm="1">
        <f t="array" aca="1" ref="J69" ca="1">IF(ISBLANK($C28),INDIRECT(J$2&amp;"!F"&amp;$D69),"")</f>
        <v/>
      </c>
      <c r="K69" s="54" t="str" cm="1">
        <f t="array" aca="1" ref="K69" ca="1">IF(ISBLANK($C28),INDIRECT(K$2&amp;"!F"&amp;$D69),"")</f>
        <v/>
      </c>
      <c r="L69" s="54" t="str" cm="1">
        <f t="array" aca="1" ref="L69" ca="1">IF(ISBLANK($C28),INDIRECT(L$2&amp;"!F"&amp;$D69),"")</f>
        <v/>
      </c>
      <c r="M69" s="54" t="str" cm="1">
        <f t="array" aca="1" ref="M69" ca="1">IF(ISBLANK($C28),INDIRECT(M$2&amp;"!F"&amp;$D69),"")</f>
        <v/>
      </c>
      <c r="N69" s="54" t="str" cm="1">
        <f t="array" aca="1" ref="N69" ca="1">IF(ISBLANK($C28),INDIRECT(N$2&amp;"!F"&amp;$D69),"")</f>
        <v/>
      </c>
      <c r="O69" s="54" t="str" cm="1">
        <f t="array" aca="1" ref="O69" ca="1">IF(ISBLANK($C28),INDIRECT(O$2&amp;"!F"&amp;$D69),"")</f>
        <v/>
      </c>
      <c r="P69" s="54" t="str" cm="1">
        <f t="array" aca="1" ref="P69" ca="1">IF(ISBLANK($C28),INDIRECT(P$2&amp;"!F"&amp;$D69),"")</f>
        <v/>
      </c>
      <c r="Q69" s="54" t="str" cm="1">
        <f t="array" aca="1" ref="Q69" ca="1">IF(ISBLANK($C28),INDIRECT(Q$2&amp;"!F"&amp;$D69),"")</f>
        <v/>
      </c>
      <c r="R69" s="54" t="str" cm="1">
        <f t="array" aca="1" ref="R69" ca="1">IF(ISBLANK($C28),INDIRECT(R$2&amp;"!F"&amp;$D69),"")</f>
        <v/>
      </c>
      <c r="S69" s="54" t="str" cm="1">
        <f t="array" aca="1" ref="S69" ca="1">IF(ISBLANK($C28),INDIRECT(S$2&amp;"!F"&amp;$D69),"")</f>
        <v/>
      </c>
      <c r="U69" s="50" t="str">
        <f t="shared" si="9"/>
        <v/>
      </c>
      <c r="V69" s="73" t="str">
        <f t="shared" ref="V69:V88" si="15">IF(ISBLANK(C69),"",AVERAGEIF(E69:S69,"&gt;0"))</f>
        <v/>
      </c>
      <c r="W69" s="50"/>
      <c r="X69" s="73" t="str">
        <f t="shared" ref="X69:X88" si="16">IF(ISBLANK(C69),"",15-U69)</f>
        <v/>
      </c>
      <c r="Y69" s="73" t="str">
        <f t="shared" ref="Y69:Y88" si="17">IF(ISBLANK(C69),"",IF(U69&lt;15,AVERAGE(AA69:AO69),0))</f>
        <v/>
      </c>
      <c r="Z69" s="73"/>
    </row>
    <row r="70" spans="4:26" ht="15.5" hidden="1" x14ac:dyDescent="0.35">
      <c r="D70">
        <f t="shared" si="14"/>
        <v>28</v>
      </c>
      <c r="E70" s="54" t="str" cm="1">
        <f t="array" aca="1" ref="E70" ca="1">IF(ISBLANK($C29),INDIRECT(E$2&amp;"!F"&amp;$D70),"")</f>
        <v/>
      </c>
      <c r="F70" s="54" t="str" cm="1">
        <f t="array" aca="1" ref="F70" ca="1">IF(ISBLANK($C29),INDIRECT(F$2&amp;"!F"&amp;$D70),"")</f>
        <v/>
      </c>
      <c r="G70" s="54" t="str" cm="1">
        <f t="array" aca="1" ref="G70" ca="1">IF(ISBLANK($C29),INDIRECT(G$2&amp;"!F"&amp;$D70),"")</f>
        <v/>
      </c>
      <c r="H70" s="54" t="str" cm="1">
        <f t="array" aca="1" ref="H70" ca="1">IF(ISBLANK($C29),INDIRECT(H$2&amp;"!F"&amp;$D70),"")</f>
        <v/>
      </c>
      <c r="I70" s="54" t="str" cm="1">
        <f t="array" aca="1" ref="I70" ca="1">IF(ISBLANK($C29),INDIRECT(I$2&amp;"!F"&amp;$D70),"")</f>
        <v/>
      </c>
      <c r="J70" s="54" t="str" cm="1">
        <f t="array" aca="1" ref="J70" ca="1">IF(ISBLANK($C29),INDIRECT(J$2&amp;"!F"&amp;$D70),"")</f>
        <v/>
      </c>
      <c r="K70" s="54" t="str" cm="1">
        <f t="array" aca="1" ref="K70" ca="1">IF(ISBLANK($C29),INDIRECT(K$2&amp;"!F"&amp;$D70),"")</f>
        <v/>
      </c>
      <c r="L70" s="54" t="str" cm="1">
        <f t="array" aca="1" ref="L70" ca="1">IF(ISBLANK($C29),INDIRECT(L$2&amp;"!F"&amp;$D70),"")</f>
        <v/>
      </c>
      <c r="M70" s="54" t="str" cm="1">
        <f t="array" aca="1" ref="M70" ca="1">IF(ISBLANK($C29),INDIRECT(M$2&amp;"!F"&amp;$D70),"")</f>
        <v/>
      </c>
      <c r="N70" s="54" t="str" cm="1">
        <f t="array" aca="1" ref="N70" ca="1">IF(ISBLANK($C29),INDIRECT(N$2&amp;"!F"&amp;$D70),"")</f>
        <v/>
      </c>
      <c r="O70" s="54" t="str" cm="1">
        <f t="array" aca="1" ref="O70" ca="1">IF(ISBLANK($C29),INDIRECT(O$2&amp;"!F"&amp;$D70),"")</f>
        <v/>
      </c>
      <c r="P70" s="54" t="str" cm="1">
        <f t="array" aca="1" ref="P70" ca="1">IF(ISBLANK($C29),INDIRECT(P$2&amp;"!F"&amp;$D70),"")</f>
        <v/>
      </c>
      <c r="Q70" s="54" t="str" cm="1">
        <f t="array" aca="1" ref="Q70" ca="1">IF(ISBLANK($C29),INDIRECT(Q$2&amp;"!F"&amp;$D70),"")</f>
        <v/>
      </c>
      <c r="R70" s="54" t="str" cm="1">
        <f t="array" aca="1" ref="R70" ca="1">IF(ISBLANK($C29),INDIRECT(R$2&amp;"!F"&amp;$D70),"")</f>
        <v/>
      </c>
      <c r="S70" s="54" t="str" cm="1">
        <f t="array" aca="1" ref="S70" ca="1">IF(ISBLANK($C29),INDIRECT(S$2&amp;"!F"&amp;$D70),"")</f>
        <v/>
      </c>
      <c r="U70" s="50" t="str">
        <f t="shared" ref="U70:U88" si="18">IF(ISBLANK(C70),"",COUNTIF(E70:S70,"&gt;0"))</f>
        <v/>
      </c>
      <c r="V70" s="73" t="str">
        <f t="shared" si="15"/>
        <v/>
      </c>
      <c r="W70" s="50"/>
      <c r="X70" s="73" t="str">
        <f t="shared" si="16"/>
        <v/>
      </c>
      <c r="Y70" s="73" t="str">
        <f t="shared" si="17"/>
        <v/>
      </c>
      <c r="Z70" s="73"/>
    </row>
    <row r="71" spans="4:26" ht="15.5" hidden="1" x14ac:dyDescent="0.35">
      <c r="D71">
        <f t="shared" si="14"/>
        <v>29</v>
      </c>
      <c r="E71" s="54" t="str" cm="1">
        <f t="array" aca="1" ref="E71" ca="1">IF(ISBLANK($C30),INDIRECT(E$2&amp;"!F"&amp;$D71),"")</f>
        <v/>
      </c>
      <c r="F71" s="54" t="str" cm="1">
        <f t="array" aca="1" ref="F71" ca="1">IF(ISBLANK($C30),INDIRECT(F$2&amp;"!F"&amp;$D71),"")</f>
        <v/>
      </c>
      <c r="G71" s="54" t="str" cm="1">
        <f t="array" aca="1" ref="G71" ca="1">IF(ISBLANK($C30),INDIRECT(G$2&amp;"!F"&amp;$D71),"")</f>
        <v/>
      </c>
      <c r="H71" s="54" t="str" cm="1">
        <f t="array" aca="1" ref="H71" ca="1">IF(ISBLANK($C30),INDIRECT(H$2&amp;"!F"&amp;$D71),"")</f>
        <v/>
      </c>
      <c r="I71" s="54" t="str" cm="1">
        <f t="array" aca="1" ref="I71" ca="1">IF(ISBLANK($C30),INDIRECT(I$2&amp;"!F"&amp;$D71),"")</f>
        <v/>
      </c>
      <c r="J71" s="54" t="str" cm="1">
        <f t="array" aca="1" ref="J71" ca="1">IF(ISBLANK($C30),INDIRECT(J$2&amp;"!F"&amp;$D71),"")</f>
        <v/>
      </c>
      <c r="K71" s="54" t="str" cm="1">
        <f t="array" aca="1" ref="K71" ca="1">IF(ISBLANK($C30),INDIRECT(K$2&amp;"!F"&amp;$D71),"")</f>
        <v/>
      </c>
      <c r="L71" s="54" t="str" cm="1">
        <f t="array" aca="1" ref="L71" ca="1">IF(ISBLANK($C30),INDIRECT(L$2&amp;"!F"&amp;$D71),"")</f>
        <v/>
      </c>
      <c r="M71" s="54" t="str" cm="1">
        <f t="array" aca="1" ref="M71" ca="1">IF(ISBLANK($C30),INDIRECT(M$2&amp;"!F"&amp;$D71),"")</f>
        <v/>
      </c>
      <c r="N71" s="54" t="str" cm="1">
        <f t="array" aca="1" ref="N71" ca="1">IF(ISBLANK($C30),INDIRECT(N$2&amp;"!F"&amp;$D71),"")</f>
        <v/>
      </c>
      <c r="O71" s="54" t="str" cm="1">
        <f t="array" aca="1" ref="O71" ca="1">IF(ISBLANK($C30),INDIRECT(O$2&amp;"!F"&amp;$D71),"")</f>
        <v/>
      </c>
      <c r="P71" s="54" t="str" cm="1">
        <f t="array" aca="1" ref="P71" ca="1">IF(ISBLANK($C30),INDIRECT(P$2&amp;"!F"&amp;$D71),"")</f>
        <v/>
      </c>
      <c r="Q71" s="54" t="str" cm="1">
        <f t="array" aca="1" ref="Q71" ca="1">IF(ISBLANK($C30),INDIRECT(Q$2&amp;"!F"&amp;$D71),"")</f>
        <v/>
      </c>
      <c r="R71" s="54" t="str" cm="1">
        <f t="array" aca="1" ref="R71" ca="1">IF(ISBLANK($C30),INDIRECT(R$2&amp;"!F"&amp;$D71),"")</f>
        <v/>
      </c>
      <c r="S71" s="54" t="str" cm="1">
        <f t="array" aca="1" ref="S71" ca="1">IF(ISBLANK($C30),INDIRECT(S$2&amp;"!F"&amp;$D71),"")</f>
        <v/>
      </c>
      <c r="U71" s="50" t="str">
        <f t="shared" si="18"/>
        <v/>
      </c>
      <c r="V71" s="73" t="str">
        <f t="shared" si="15"/>
        <v/>
      </c>
      <c r="W71" s="50"/>
      <c r="X71" s="73" t="str">
        <f t="shared" si="16"/>
        <v/>
      </c>
      <c r="Y71" s="73" t="str">
        <f t="shared" si="17"/>
        <v/>
      </c>
      <c r="Z71" s="73"/>
    </row>
    <row r="72" spans="4:26" ht="15.5" hidden="1" x14ac:dyDescent="0.35">
      <c r="D72">
        <f t="shared" si="14"/>
        <v>30</v>
      </c>
      <c r="E72" s="54" t="str" cm="1">
        <f t="array" aca="1" ref="E72" ca="1">IF(ISBLANK($C31),INDIRECT(E$2&amp;"!F"&amp;$D72),"")</f>
        <v/>
      </c>
      <c r="F72" s="54" t="str" cm="1">
        <f t="array" aca="1" ref="F72" ca="1">IF(ISBLANK($C31),INDIRECT(F$2&amp;"!F"&amp;$D72),"")</f>
        <v/>
      </c>
      <c r="G72" s="54" t="str" cm="1">
        <f t="array" aca="1" ref="G72" ca="1">IF(ISBLANK($C31),INDIRECT(G$2&amp;"!F"&amp;$D72),"")</f>
        <v/>
      </c>
      <c r="H72" s="54" t="str" cm="1">
        <f t="array" aca="1" ref="H72" ca="1">IF(ISBLANK($C31),INDIRECT(H$2&amp;"!F"&amp;$D72),"")</f>
        <v/>
      </c>
      <c r="I72" s="54" t="str" cm="1">
        <f t="array" aca="1" ref="I72" ca="1">IF(ISBLANK($C31),INDIRECT(I$2&amp;"!F"&amp;$D72),"")</f>
        <v/>
      </c>
      <c r="J72" s="54" t="str" cm="1">
        <f t="array" aca="1" ref="J72" ca="1">IF(ISBLANK($C31),INDIRECT(J$2&amp;"!F"&amp;$D72),"")</f>
        <v/>
      </c>
      <c r="K72" s="54" t="str" cm="1">
        <f t="array" aca="1" ref="K72" ca="1">IF(ISBLANK($C31),INDIRECT(K$2&amp;"!F"&amp;$D72),"")</f>
        <v/>
      </c>
      <c r="L72" s="54" t="str" cm="1">
        <f t="array" aca="1" ref="L72" ca="1">IF(ISBLANK($C31),INDIRECT(L$2&amp;"!F"&amp;$D72),"")</f>
        <v/>
      </c>
      <c r="M72" s="54" t="str" cm="1">
        <f t="array" aca="1" ref="M72" ca="1">IF(ISBLANK($C31),INDIRECT(M$2&amp;"!F"&amp;$D72),"")</f>
        <v/>
      </c>
      <c r="N72" s="54" t="str" cm="1">
        <f t="array" aca="1" ref="N72" ca="1">IF(ISBLANK($C31),INDIRECT(N$2&amp;"!F"&amp;$D72),"")</f>
        <v/>
      </c>
      <c r="O72" s="54" t="str" cm="1">
        <f t="array" aca="1" ref="O72" ca="1">IF(ISBLANK($C31),INDIRECT(O$2&amp;"!F"&amp;$D72),"")</f>
        <v/>
      </c>
      <c r="P72" s="54" t="str" cm="1">
        <f t="array" aca="1" ref="P72" ca="1">IF(ISBLANK($C31),INDIRECT(P$2&amp;"!F"&amp;$D72),"")</f>
        <v/>
      </c>
      <c r="Q72" s="54" t="str" cm="1">
        <f t="array" aca="1" ref="Q72" ca="1">IF(ISBLANK($C31),INDIRECT(Q$2&amp;"!F"&amp;$D72),"")</f>
        <v/>
      </c>
      <c r="R72" s="54" t="str" cm="1">
        <f t="array" aca="1" ref="R72" ca="1">IF(ISBLANK($C31),INDIRECT(R$2&amp;"!F"&amp;$D72),"")</f>
        <v/>
      </c>
      <c r="S72" s="54" t="str" cm="1">
        <f t="array" aca="1" ref="S72" ca="1">IF(ISBLANK($C31),INDIRECT(S$2&amp;"!F"&amp;$D72),"")</f>
        <v/>
      </c>
      <c r="U72" s="50" t="str">
        <f t="shared" si="18"/>
        <v/>
      </c>
      <c r="V72" s="73" t="str">
        <f t="shared" si="15"/>
        <v/>
      </c>
      <c r="W72" s="50"/>
      <c r="X72" s="73" t="str">
        <f t="shared" si="16"/>
        <v/>
      </c>
      <c r="Y72" s="73" t="str">
        <f t="shared" si="17"/>
        <v/>
      </c>
      <c r="Z72" s="73"/>
    </row>
    <row r="73" spans="4:26" ht="15.5" hidden="1" x14ac:dyDescent="0.35">
      <c r="D73">
        <f t="shared" si="14"/>
        <v>31</v>
      </c>
      <c r="E73" s="54" t="str" cm="1">
        <f t="array" aca="1" ref="E73" ca="1">IF(ISBLANK($C32),INDIRECT(E$2&amp;"!F"&amp;$D73),"")</f>
        <v/>
      </c>
      <c r="F73" s="54" t="str" cm="1">
        <f t="array" aca="1" ref="F73" ca="1">IF(ISBLANK($C32),INDIRECT(F$2&amp;"!F"&amp;$D73),"")</f>
        <v/>
      </c>
      <c r="G73" s="54" t="str" cm="1">
        <f t="array" aca="1" ref="G73" ca="1">IF(ISBLANK($C32),INDIRECT(G$2&amp;"!F"&amp;$D73),"")</f>
        <v/>
      </c>
      <c r="H73" s="54" t="str" cm="1">
        <f t="array" aca="1" ref="H73" ca="1">IF(ISBLANK($C32),INDIRECT(H$2&amp;"!F"&amp;$D73),"")</f>
        <v/>
      </c>
      <c r="I73" s="54" t="str" cm="1">
        <f t="array" aca="1" ref="I73" ca="1">IF(ISBLANK($C32),INDIRECT(I$2&amp;"!F"&amp;$D73),"")</f>
        <v/>
      </c>
      <c r="J73" s="54" t="str" cm="1">
        <f t="array" aca="1" ref="J73" ca="1">IF(ISBLANK($C32),INDIRECT(J$2&amp;"!F"&amp;$D73),"")</f>
        <v/>
      </c>
      <c r="K73" s="54" t="str" cm="1">
        <f t="array" aca="1" ref="K73" ca="1">IF(ISBLANK($C32),INDIRECT(K$2&amp;"!F"&amp;$D73),"")</f>
        <v/>
      </c>
      <c r="L73" s="54" t="str" cm="1">
        <f t="array" aca="1" ref="L73" ca="1">IF(ISBLANK($C32),INDIRECT(L$2&amp;"!F"&amp;$D73),"")</f>
        <v/>
      </c>
      <c r="M73" s="54" t="str" cm="1">
        <f t="array" aca="1" ref="M73" ca="1">IF(ISBLANK($C32),INDIRECT(M$2&amp;"!F"&amp;$D73),"")</f>
        <v/>
      </c>
      <c r="N73" s="54" t="str" cm="1">
        <f t="array" aca="1" ref="N73" ca="1">IF(ISBLANK($C32),INDIRECT(N$2&amp;"!F"&amp;$D73),"")</f>
        <v/>
      </c>
      <c r="O73" s="54" t="str" cm="1">
        <f t="array" aca="1" ref="O73" ca="1">IF(ISBLANK($C32),INDIRECT(O$2&amp;"!F"&amp;$D73),"")</f>
        <v/>
      </c>
      <c r="P73" s="54" t="str" cm="1">
        <f t="array" aca="1" ref="P73" ca="1">IF(ISBLANK($C32),INDIRECT(P$2&amp;"!F"&amp;$D73),"")</f>
        <v/>
      </c>
      <c r="Q73" s="54" t="str" cm="1">
        <f t="array" aca="1" ref="Q73" ca="1">IF(ISBLANK($C32),INDIRECT(Q$2&amp;"!F"&amp;$D73),"")</f>
        <v/>
      </c>
      <c r="R73" s="54" t="str" cm="1">
        <f t="array" aca="1" ref="R73" ca="1">IF(ISBLANK($C32),INDIRECT(R$2&amp;"!F"&amp;$D73),"")</f>
        <v/>
      </c>
      <c r="S73" s="54" t="str" cm="1">
        <f t="array" aca="1" ref="S73" ca="1">IF(ISBLANK($C32),INDIRECT(S$2&amp;"!F"&amp;$D73),"")</f>
        <v/>
      </c>
      <c r="U73" s="50" t="str">
        <f t="shared" si="18"/>
        <v/>
      </c>
      <c r="V73" s="73" t="str">
        <f t="shared" si="15"/>
        <v/>
      </c>
      <c r="W73" s="50"/>
      <c r="X73" s="73" t="str">
        <f t="shared" si="16"/>
        <v/>
      </c>
      <c r="Y73" s="73" t="str">
        <f t="shared" si="17"/>
        <v/>
      </c>
      <c r="Z73" s="73"/>
    </row>
    <row r="74" spans="4:26" ht="15.5" hidden="1" x14ac:dyDescent="0.35">
      <c r="D74">
        <f t="shared" si="14"/>
        <v>32</v>
      </c>
      <c r="E74" s="54" t="str" cm="1">
        <f t="array" aca="1" ref="E74" ca="1">IF(ISBLANK($C33),INDIRECT(E$2&amp;"!F"&amp;$D74),"")</f>
        <v/>
      </c>
      <c r="F74" s="54" t="str" cm="1">
        <f t="array" aca="1" ref="F74" ca="1">IF(ISBLANK($C33),INDIRECT(F$2&amp;"!F"&amp;$D74),"")</f>
        <v/>
      </c>
      <c r="G74" s="54" t="str" cm="1">
        <f t="array" aca="1" ref="G74" ca="1">IF(ISBLANK($C33),INDIRECT(G$2&amp;"!F"&amp;$D74),"")</f>
        <v/>
      </c>
      <c r="H74" s="54" t="str" cm="1">
        <f t="array" aca="1" ref="H74" ca="1">IF(ISBLANK($C33),INDIRECT(H$2&amp;"!F"&amp;$D74),"")</f>
        <v/>
      </c>
      <c r="I74" s="54" t="str" cm="1">
        <f t="array" aca="1" ref="I74" ca="1">IF(ISBLANK($C33),INDIRECT(I$2&amp;"!F"&amp;$D74),"")</f>
        <v/>
      </c>
      <c r="J74" s="54" t="str" cm="1">
        <f t="array" aca="1" ref="J74" ca="1">IF(ISBLANK($C33),INDIRECT(J$2&amp;"!F"&amp;$D74),"")</f>
        <v/>
      </c>
      <c r="K74" s="54" t="str" cm="1">
        <f t="array" aca="1" ref="K74" ca="1">IF(ISBLANK($C33),INDIRECT(K$2&amp;"!F"&amp;$D74),"")</f>
        <v/>
      </c>
      <c r="L74" s="54" t="str" cm="1">
        <f t="array" aca="1" ref="L74" ca="1">IF(ISBLANK($C33),INDIRECT(L$2&amp;"!F"&amp;$D74),"")</f>
        <v/>
      </c>
      <c r="M74" s="54" t="str" cm="1">
        <f t="array" aca="1" ref="M74" ca="1">IF(ISBLANK($C33),INDIRECT(M$2&amp;"!F"&amp;$D74),"")</f>
        <v/>
      </c>
      <c r="N74" s="54" t="str" cm="1">
        <f t="array" aca="1" ref="N74" ca="1">IF(ISBLANK($C33),INDIRECT(N$2&amp;"!F"&amp;$D74),"")</f>
        <v/>
      </c>
      <c r="O74" s="54" t="str" cm="1">
        <f t="array" aca="1" ref="O74" ca="1">IF(ISBLANK($C33),INDIRECT(O$2&amp;"!F"&amp;$D74),"")</f>
        <v/>
      </c>
      <c r="P74" s="54" t="str" cm="1">
        <f t="array" aca="1" ref="P74" ca="1">IF(ISBLANK($C33),INDIRECT(P$2&amp;"!F"&amp;$D74),"")</f>
        <v/>
      </c>
      <c r="Q74" s="54" t="str" cm="1">
        <f t="array" aca="1" ref="Q74" ca="1">IF(ISBLANK($C33),INDIRECT(Q$2&amp;"!F"&amp;$D74),"")</f>
        <v/>
      </c>
      <c r="R74" s="54" t="str" cm="1">
        <f t="array" aca="1" ref="R74" ca="1">IF(ISBLANK($C33),INDIRECT(R$2&amp;"!F"&amp;$D74),"")</f>
        <v/>
      </c>
      <c r="S74" s="54" t="str" cm="1">
        <f t="array" aca="1" ref="S74" ca="1">IF(ISBLANK($C33),INDIRECT(S$2&amp;"!F"&amp;$D74),"")</f>
        <v/>
      </c>
      <c r="U74" s="50" t="str">
        <f t="shared" si="18"/>
        <v/>
      </c>
      <c r="V74" s="73" t="str">
        <f t="shared" si="15"/>
        <v/>
      </c>
      <c r="W74" s="50"/>
      <c r="X74" s="73" t="str">
        <f t="shared" si="16"/>
        <v/>
      </c>
      <c r="Y74" s="73" t="str">
        <f t="shared" si="17"/>
        <v/>
      </c>
      <c r="Z74" s="73"/>
    </row>
    <row r="75" spans="4:26" ht="15.5" hidden="1" x14ac:dyDescent="0.35">
      <c r="D75">
        <f t="shared" si="14"/>
        <v>33</v>
      </c>
      <c r="E75" s="54" t="str" cm="1">
        <f t="array" aca="1" ref="E75" ca="1">IF(ISBLANK($C34),INDIRECT(E$2&amp;"!F"&amp;$D75),"")</f>
        <v/>
      </c>
      <c r="F75" s="54" t="str" cm="1">
        <f t="array" aca="1" ref="F75" ca="1">IF(ISBLANK($C34),INDIRECT(F$2&amp;"!F"&amp;$D75),"")</f>
        <v/>
      </c>
      <c r="G75" s="54" t="str" cm="1">
        <f t="array" aca="1" ref="G75" ca="1">IF(ISBLANK($C34),INDIRECT(G$2&amp;"!F"&amp;$D75),"")</f>
        <v/>
      </c>
      <c r="H75" s="54" t="str" cm="1">
        <f t="array" aca="1" ref="H75" ca="1">IF(ISBLANK($C34),INDIRECT(H$2&amp;"!F"&amp;$D75),"")</f>
        <v/>
      </c>
      <c r="I75" s="54" t="str" cm="1">
        <f t="array" aca="1" ref="I75" ca="1">IF(ISBLANK($C34),INDIRECT(I$2&amp;"!F"&amp;$D75),"")</f>
        <v/>
      </c>
      <c r="J75" s="54" t="str" cm="1">
        <f t="array" aca="1" ref="J75" ca="1">IF(ISBLANK($C34),INDIRECT(J$2&amp;"!F"&amp;$D75),"")</f>
        <v/>
      </c>
      <c r="K75" s="54" t="str" cm="1">
        <f t="array" aca="1" ref="K75" ca="1">IF(ISBLANK($C34),INDIRECT(K$2&amp;"!F"&amp;$D75),"")</f>
        <v/>
      </c>
      <c r="L75" s="54" t="str" cm="1">
        <f t="array" aca="1" ref="L75" ca="1">IF(ISBLANK($C34),INDIRECT(L$2&amp;"!F"&amp;$D75),"")</f>
        <v/>
      </c>
      <c r="M75" s="54" t="str" cm="1">
        <f t="array" aca="1" ref="M75" ca="1">IF(ISBLANK($C34),INDIRECT(M$2&amp;"!F"&amp;$D75),"")</f>
        <v/>
      </c>
      <c r="N75" s="54" t="str" cm="1">
        <f t="array" aca="1" ref="N75" ca="1">IF(ISBLANK($C34),INDIRECT(N$2&amp;"!F"&amp;$D75),"")</f>
        <v/>
      </c>
      <c r="O75" s="54" t="str" cm="1">
        <f t="array" aca="1" ref="O75" ca="1">IF(ISBLANK($C34),INDIRECT(O$2&amp;"!F"&amp;$D75),"")</f>
        <v/>
      </c>
      <c r="P75" s="54" t="str" cm="1">
        <f t="array" aca="1" ref="P75" ca="1">IF(ISBLANK($C34),INDIRECT(P$2&amp;"!F"&amp;$D75),"")</f>
        <v/>
      </c>
      <c r="Q75" s="54" t="str" cm="1">
        <f t="array" aca="1" ref="Q75" ca="1">IF(ISBLANK($C34),INDIRECT(Q$2&amp;"!F"&amp;$D75),"")</f>
        <v/>
      </c>
      <c r="R75" s="54" t="str" cm="1">
        <f t="array" aca="1" ref="R75" ca="1">IF(ISBLANK($C34),INDIRECT(R$2&amp;"!F"&amp;$D75),"")</f>
        <v/>
      </c>
      <c r="S75" s="54" t="str" cm="1">
        <f t="array" aca="1" ref="S75" ca="1">IF(ISBLANK($C34),INDIRECT(S$2&amp;"!F"&amp;$D75),"")</f>
        <v/>
      </c>
      <c r="U75" s="50" t="str">
        <f t="shared" si="18"/>
        <v/>
      </c>
      <c r="V75" s="73" t="str">
        <f t="shared" si="15"/>
        <v/>
      </c>
      <c r="W75" s="50"/>
      <c r="X75" s="73" t="str">
        <f t="shared" si="16"/>
        <v/>
      </c>
      <c r="Y75" s="73" t="str">
        <f t="shared" si="17"/>
        <v/>
      </c>
      <c r="Z75" s="73"/>
    </row>
    <row r="76" spans="4:26" ht="15.5" hidden="1" x14ac:dyDescent="0.35">
      <c r="D76">
        <f t="shared" si="14"/>
        <v>34</v>
      </c>
      <c r="E76" s="54" t="str" cm="1">
        <f t="array" aca="1" ref="E76" ca="1">IF(ISBLANK($C35),INDIRECT(E$2&amp;"!F"&amp;$D76),"")</f>
        <v/>
      </c>
      <c r="F76" s="54" t="str" cm="1">
        <f t="array" aca="1" ref="F76" ca="1">IF(ISBLANK($C35),INDIRECT(F$2&amp;"!F"&amp;$D76),"")</f>
        <v/>
      </c>
      <c r="G76" s="54" t="str" cm="1">
        <f t="array" aca="1" ref="G76" ca="1">IF(ISBLANK($C35),INDIRECT(G$2&amp;"!F"&amp;$D76),"")</f>
        <v/>
      </c>
      <c r="H76" s="54" t="str" cm="1">
        <f t="array" aca="1" ref="H76" ca="1">IF(ISBLANK($C35),INDIRECT(H$2&amp;"!F"&amp;$D76),"")</f>
        <v/>
      </c>
      <c r="I76" s="54" t="str" cm="1">
        <f t="array" aca="1" ref="I76" ca="1">IF(ISBLANK($C35),INDIRECT(I$2&amp;"!F"&amp;$D76),"")</f>
        <v/>
      </c>
      <c r="J76" s="54" t="str" cm="1">
        <f t="array" aca="1" ref="J76" ca="1">IF(ISBLANK($C35),INDIRECT(J$2&amp;"!F"&amp;$D76),"")</f>
        <v/>
      </c>
      <c r="K76" s="54" t="str" cm="1">
        <f t="array" aca="1" ref="K76" ca="1">IF(ISBLANK($C35),INDIRECT(K$2&amp;"!F"&amp;$D76),"")</f>
        <v/>
      </c>
      <c r="L76" s="54" t="str" cm="1">
        <f t="array" aca="1" ref="L76" ca="1">IF(ISBLANK($C35),INDIRECT(L$2&amp;"!F"&amp;$D76),"")</f>
        <v/>
      </c>
      <c r="M76" s="54" t="str" cm="1">
        <f t="array" aca="1" ref="M76" ca="1">IF(ISBLANK($C35),INDIRECT(M$2&amp;"!F"&amp;$D76),"")</f>
        <v/>
      </c>
      <c r="N76" s="54" t="str" cm="1">
        <f t="array" aca="1" ref="N76" ca="1">IF(ISBLANK($C35),INDIRECT(N$2&amp;"!F"&amp;$D76),"")</f>
        <v/>
      </c>
      <c r="O76" s="54" t="str" cm="1">
        <f t="array" aca="1" ref="O76" ca="1">IF(ISBLANK($C35),INDIRECT(O$2&amp;"!F"&amp;$D76),"")</f>
        <v/>
      </c>
      <c r="P76" s="54" t="str" cm="1">
        <f t="array" aca="1" ref="P76" ca="1">IF(ISBLANK($C35),INDIRECT(P$2&amp;"!F"&amp;$D76),"")</f>
        <v/>
      </c>
      <c r="Q76" s="54" t="str" cm="1">
        <f t="array" aca="1" ref="Q76" ca="1">IF(ISBLANK($C35),INDIRECT(Q$2&amp;"!F"&amp;$D76),"")</f>
        <v/>
      </c>
      <c r="R76" s="54" t="str" cm="1">
        <f t="array" aca="1" ref="R76" ca="1">IF(ISBLANK($C35),INDIRECT(R$2&amp;"!F"&amp;$D76),"")</f>
        <v/>
      </c>
      <c r="S76" s="54" t="str" cm="1">
        <f t="array" aca="1" ref="S76" ca="1">IF(ISBLANK($C35),INDIRECT(S$2&amp;"!F"&amp;$D76),"")</f>
        <v/>
      </c>
      <c r="U76" s="50" t="str">
        <f t="shared" si="18"/>
        <v/>
      </c>
      <c r="V76" s="73" t="str">
        <f t="shared" si="15"/>
        <v/>
      </c>
      <c r="W76" s="50"/>
      <c r="X76" s="73" t="str">
        <f t="shared" si="16"/>
        <v/>
      </c>
      <c r="Y76" s="73" t="str">
        <f t="shared" si="17"/>
        <v/>
      </c>
      <c r="Z76" s="73"/>
    </row>
    <row r="77" spans="4:26" ht="15.5" hidden="1" x14ac:dyDescent="0.35">
      <c r="D77">
        <f t="shared" si="14"/>
        <v>35</v>
      </c>
      <c r="E77" s="54" t="str" cm="1">
        <f t="array" aca="1" ref="E77" ca="1">IF(ISBLANK($C36),INDIRECT(E$2&amp;"!F"&amp;$D77),"")</f>
        <v/>
      </c>
      <c r="F77" s="54" t="str" cm="1">
        <f t="array" aca="1" ref="F77" ca="1">IF(ISBLANK($C36),INDIRECT(F$2&amp;"!F"&amp;$D77),"")</f>
        <v/>
      </c>
      <c r="G77" s="54" t="str" cm="1">
        <f t="array" aca="1" ref="G77" ca="1">IF(ISBLANK($C36),INDIRECT(G$2&amp;"!F"&amp;$D77),"")</f>
        <v/>
      </c>
      <c r="H77" s="54" t="str" cm="1">
        <f t="array" aca="1" ref="H77" ca="1">IF(ISBLANK($C36),INDIRECT(H$2&amp;"!F"&amp;$D77),"")</f>
        <v/>
      </c>
      <c r="I77" s="54" t="str" cm="1">
        <f t="array" aca="1" ref="I77" ca="1">IF(ISBLANK($C36),INDIRECT(I$2&amp;"!F"&amp;$D77),"")</f>
        <v/>
      </c>
      <c r="J77" s="54" t="str" cm="1">
        <f t="array" aca="1" ref="J77" ca="1">IF(ISBLANK($C36),INDIRECT(J$2&amp;"!F"&amp;$D77),"")</f>
        <v/>
      </c>
      <c r="K77" s="54" t="str" cm="1">
        <f t="array" aca="1" ref="K77" ca="1">IF(ISBLANK($C36),INDIRECT(K$2&amp;"!F"&amp;$D77),"")</f>
        <v/>
      </c>
      <c r="L77" s="54" t="str" cm="1">
        <f t="array" aca="1" ref="L77" ca="1">IF(ISBLANK($C36),INDIRECT(L$2&amp;"!F"&amp;$D77),"")</f>
        <v/>
      </c>
      <c r="M77" s="54" t="str" cm="1">
        <f t="array" aca="1" ref="M77" ca="1">IF(ISBLANK($C36),INDIRECT(M$2&amp;"!F"&amp;$D77),"")</f>
        <v/>
      </c>
      <c r="N77" s="54" t="str" cm="1">
        <f t="array" aca="1" ref="N77" ca="1">IF(ISBLANK($C36),INDIRECT(N$2&amp;"!F"&amp;$D77),"")</f>
        <v/>
      </c>
      <c r="O77" s="54" t="str" cm="1">
        <f t="array" aca="1" ref="O77" ca="1">IF(ISBLANK($C36),INDIRECT(O$2&amp;"!F"&amp;$D77),"")</f>
        <v/>
      </c>
      <c r="P77" s="54" t="str" cm="1">
        <f t="array" aca="1" ref="P77" ca="1">IF(ISBLANK($C36),INDIRECT(P$2&amp;"!F"&amp;$D77),"")</f>
        <v/>
      </c>
      <c r="Q77" s="54" t="str" cm="1">
        <f t="array" aca="1" ref="Q77" ca="1">IF(ISBLANK($C36),INDIRECT(Q$2&amp;"!F"&amp;$D77),"")</f>
        <v/>
      </c>
      <c r="R77" s="54" t="str" cm="1">
        <f t="array" aca="1" ref="R77" ca="1">IF(ISBLANK($C36),INDIRECT(R$2&amp;"!F"&amp;$D77),"")</f>
        <v/>
      </c>
      <c r="S77" s="54" t="str" cm="1">
        <f t="array" aca="1" ref="S77" ca="1">IF(ISBLANK($C36),INDIRECT(S$2&amp;"!F"&amp;$D77),"")</f>
        <v/>
      </c>
      <c r="U77" s="50" t="str">
        <f t="shared" si="18"/>
        <v/>
      </c>
      <c r="V77" s="73" t="str">
        <f t="shared" si="15"/>
        <v/>
      </c>
      <c r="W77" s="50"/>
      <c r="X77" s="73" t="str">
        <f t="shared" si="16"/>
        <v/>
      </c>
      <c r="Y77" s="73" t="str">
        <f t="shared" si="17"/>
        <v/>
      </c>
      <c r="Z77" s="73"/>
    </row>
    <row r="78" spans="4:26" ht="15.5" hidden="1" x14ac:dyDescent="0.35">
      <c r="D78">
        <f t="shared" si="14"/>
        <v>36</v>
      </c>
      <c r="E78" s="54" t="str" cm="1">
        <f t="array" aca="1" ref="E78" ca="1">IF(ISBLANK($C37),INDIRECT(E$2&amp;"!F"&amp;$D78),"")</f>
        <v/>
      </c>
      <c r="F78" s="54" t="str" cm="1">
        <f t="array" aca="1" ref="F78" ca="1">IF(ISBLANK($C37),INDIRECT(F$2&amp;"!F"&amp;$D78),"")</f>
        <v/>
      </c>
      <c r="G78" s="54" t="str" cm="1">
        <f t="array" aca="1" ref="G78" ca="1">IF(ISBLANK($C37),INDIRECT(G$2&amp;"!F"&amp;$D78),"")</f>
        <v/>
      </c>
      <c r="H78" s="54" t="str" cm="1">
        <f t="array" aca="1" ref="H78" ca="1">IF(ISBLANK($C37),INDIRECT(H$2&amp;"!F"&amp;$D78),"")</f>
        <v/>
      </c>
      <c r="I78" s="54" t="str" cm="1">
        <f t="array" aca="1" ref="I78" ca="1">IF(ISBLANK($C37),INDIRECT(I$2&amp;"!F"&amp;$D78),"")</f>
        <v/>
      </c>
      <c r="J78" s="54" t="str" cm="1">
        <f t="array" aca="1" ref="J78" ca="1">IF(ISBLANK($C37),INDIRECT(J$2&amp;"!F"&amp;$D78),"")</f>
        <v/>
      </c>
      <c r="K78" s="54" t="str" cm="1">
        <f t="array" aca="1" ref="K78" ca="1">IF(ISBLANK($C37),INDIRECT(K$2&amp;"!F"&amp;$D78),"")</f>
        <v/>
      </c>
      <c r="L78" s="54" t="str" cm="1">
        <f t="array" aca="1" ref="L78" ca="1">IF(ISBLANK($C37),INDIRECT(L$2&amp;"!F"&amp;$D78),"")</f>
        <v/>
      </c>
      <c r="M78" s="54" t="str" cm="1">
        <f t="array" aca="1" ref="M78" ca="1">IF(ISBLANK($C37),INDIRECT(M$2&amp;"!F"&amp;$D78),"")</f>
        <v/>
      </c>
      <c r="N78" s="54" t="str" cm="1">
        <f t="array" aca="1" ref="N78" ca="1">IF(ISBLANK($C37),INDIRECT(N$2&amp;"!F"&amp;$D78),"")</f>
        <v/>
      </c>
      <c r="O78" s="54" t="str" cm="1">
        <f t="array" aca="1" ref="O78" ca="1">IF(ISBLANK($C37),INDIRECT(O$2&amp;"!F"&amp;$D78),"")</f>
        <v/>
      </c>
      <c r="P78" s="54" t="str" cm="1">
        <f t="array" aca="1" ref="P78" ca="1">IF(ISBLANK($C37),INDIRECT(P$2&amp;"!F"&amp;$D78),"")</f>
        <v/>
      </c>
      <c r="Q78" s="54" t="str" cm="1">
        <f t="array" aca="1" ref="Q78" ca="1">IF(ISBLANK($C37),INDIRECT(Q$2&amp;"!F"&amp;$D78),"")</f>
        <v/>
      </c>
      <c r="R78" s="54" t="str" cm="1">
        <f t="array" aca="1" ref="R78" ca="1">IF(ISBLANK($C37),INDIRECT(R$2&amp;"!F"&amp;$D78),"")</f>
        <v/>
      </c>
      <c r="S78" s="54" t="str" cm="1">
        <f t="array" aca="1" ref="S78" ca="1">IF(ISBLANK($C37),INDIRECT(S$2&amp;"!F"&amp;$D78),"")</f>
        <v/>
      </c>
      <c r="U78" s="50" t="str">
        <f t="shared" si="18"/>
        <v/>
      </c>
      <c r="V78" s="73" t="str">
        <f t="shared" si="15"/>
        <v/>
      </c>
      <c r="W78" s="50"/>
      <c r="X78" s="73" t="str">
        <f t="shared" si="16"/>
        <v/>
      </c>
      <c r="Y78" s="73" t="str">
        <f t="shared" si="17"/>
        <v/>
      </c>
      <c r="Z78" s="73"/>
    </row>
    <row r="79" spans="4:26" ht="15.5" hidden="1" x14ac:dyDescent="0.35">
      <c r="D79">
        <f t="shared" si="14"/>
        <v>37</v>
      </c>
      <c r="E79" s="54" t="str" cm="1">
        <f t="array" aca="1" ref="E79" ca="1">IF(ISBLANK($C38),INDIRECT(E$2&amp;"!F"&amp;$D79),"")</f>
        <v/>
      </c>
      <c r="F79" s="54" t="str" cm="1">
        <f t="array" aca="1" ref="F79" ca="1">IF(ISBLANK($C38),INDIRECT(F$2&amp;"!F"&amp;$D79),"")</f>
        <v/>
      </c>
      <c r="G79" s="54" t="str" cm="1">
        <f t="array" aca="1" ref="G79" ca="1">IF(ISBLANK($C38),INDIRECT(G$2&amp;"!F"&amp;$D79),"")</f>
        <v/>
      </c>
      <c r="H79" s="54" t="str" cm="1">
        <f t="array" aca="1" ref="H79" ca="1">IF(ISBLANK($C38),INDIRECT(H$2&amp;"!F"&amp;$D79),"")</f>
        <v/>
      </c>
      <c r="I79" s="54" t="str" cm="1">
        <f t="array" aca="1" ref="I79" ca="1">IF(ISBLANK($C38),INDIRECT(I$2&amp;"!F"&amp;$D79),"")</f>
        <v/>
      </c>
      <c r="J79" s="54" t="str" cm="1">
        <f t="array" aca="1" ref="J79" ca="1">IF(ISBLANK($C38),INDIRECT(J$2&amp;"!F"&amp;$D79),"")</f>
        <v/>
      </c>
      <c r="K79" s="54" t="str" cm="1">
        <f t="array" aca="1" ref="K79" ca="1">IF(ISBLANK($C38),INDIRECT(K$2&amp;"!F"&amp;$D79),"")</f>
        <v/>
      </c>
      <c r="L79" s="54" t="str" cm="1">
        <f t="array" aca="1" ref="L79" ca="1">IF(ISBLANK($C38),INDIRECT(L$2&amp;"!F"&amp;$D79),"")</f>
        <v/>
      </c>
      <c r="M79" s="54" t="str" cm="1">
        <f t="array" aca="1" ref="M79" ca="1">IF(ISBLANK($C38),INDIRECT(M$2&amp;"!F"&amp;$D79),"")</f>
        <v/>
      </c>
      <c r="N79" s="54" t="str" cm="1">
        <f t="array" aca="1" ref="N79" ca="1">IF(ISBLANK($C38),INDIRECT(N$2&amp;"!F"&amp;$D79),"")</f>
        <v/>
      </c>
      <c r="O79" s="54" t="str" cm="1">
        <f t="array" aca="1" ref="O79" ca="1">IF(ISBLANK($C38),INDIRECT(O$2&amp;"!F"&amp;$D79),"")</f>
        <v/>
      </c>
      <c r="P79" s="54" t="str" cm="1">
        <f t="array" aca="1" ref="P79" ca="1">IF(ISBLANK($C38),INDIRECT(P$2&amp;"!F"&amp;$D79),"")</f>
        <v/>
      </c>
      <c r="Q79" s="54" t="str" cm="1">
        <f t="array" aca="1" ref="Q79" ca="1">IF(ISBLANK($C38),INDIRECT(Q$2&amp;"!F"&amp;$D79),"")</f>
        <v/>
      </c>
      <c r="R79" s="54" t="str" cm="1">
        <f t="array" aca="1" ref="R79" ca="1">IF(ISBLANK($C38),INDIRECT(R$2&amp;"!F"&amp;$D79),"")</f>
        <v/>
      </c>
      <c r="S79" s="54" t="str" cm="1">
        <f t="array" aca="1" ref="S79" ca="1">IF(ISBLANK($C38),INDIRECT(S$2&amp;"!F"&amp;$D79),"")</f>
        <v/>
      </c>
      <c r="U79" s="50" t="str">
        <f t="shared" si="18"/>
        <v/>
      </c>
      <c r="V79" s="73" t="str">
        <f t="shared" si="15"/>
        <v/>
      </c>
      <c r="W79" s="50"/>
      <c r="X79" s="73" t="str">
        <f t="shared" si="16"/>
        <v/>
      </c>
      <c r="Y79" s="73" t="str">
        <f t="shared" si="17"/>
        <v/>
      </c>
      <c r="Z79" s="73"/>
    </row>
    <row r="80" spans="4:26" ht="15.5" hidden="1" x14ac:dyDescent="0.35">
      <c r="D80">
        <f t="shared" si="14"/>
        <v>38</v>
      </c>
      <c r="E80" s="54" t="str" cm="1">
        <f t="array" aca="1" ref="E80" ca="1">IF(ISBLANK($C39),INDIRECT(E$2&amp;"!F"&amp;$D80),"")</f>
        <v/>
      </c>
      <c r="F80" s="54" t="str" cm="1">
        <f t="array" aca="1" ref="F80" ca="1">IF(ISBLANK($C39),INDIRECT(F$2&amp;"!F"&amp;$D80),"")</f>
        <v/>
      </c>
      <c r="G80" s="54" t="str" cm="1">
        <f t="array" aca="1" ref="G80" ca="1">IF(ISBLANK($C39),INDIRECT(G$2&amp;"!F"&amp;$D80),"")</f>
        <v/>
      </c>
      <c r="H80" s="54" t="str" cm="1">
        <f t="array" aca="1" ref="H80" ca="1">IF(ISBLANK($C39),INDIRECT(H$2&amp;"!F"&amp;$D80),"")</f>
        <v/>
      </c>
      <c r="I80" s="54" t="str" cm="1">
        <f t="array" aca="1" ref="I80" ca="1">IF(ISBLANK($C39),INDIRECT(I$2&amp;"!F"&amp;$D80),"")</f>
        <v/>
      </c>
      <c r="J80" s="54" t="str" cm="1">
        <f t="array" aca="1" ref="J80" ca="1">IF(ISBLANK($C39),INDIRECT(J$2&amp;"!F"&amp;$D80),"")</f>
        <v/>
      </c>
      <c r="K80" s="54" t="str" cm="1">
        <f t="array" aca="1" ref="K80" ca="1">IF(ISBLANK($C39),INDIRECT(K$2&amp;"!F"&amp;$D80),"")</f>
        <v/>
      </c>
      <c r="L80" s="54" t="str" cm="1">
        <f t="array" aca="1" ref="L80" ca="1">IF(ISBLANK($C39),INDIRECT(L$2&amp;"!F"&amp;$D80),"")</f>
        <v/>
      </c>
      <c r="M80" s="54" t="str" cm="1">
        <f t="array" aca="1" ref="M80" ca="1">IF(ISBLANK($C39),INDIRECT(M$2&amp;"!F"&amp;$D80),"")</f>
        <v/>
      </c>
      <c r="N80" s="54" t="str" cm="1">
        <f t="array" aca="1" ref="N80" ca="1">IF(ISBLANK($C39),INDIRECT(N$2&amp;"!F"&amp;$D80),"")</f>
        <v/>
      </c>
      <c r="O80" s="54" t="str" cm="1">
        <f t="array" aca="1" ref="O80" ca="1">IF(ISBLANK($C39),INDIRECT(O$2&amp;"!F"&amp;$D80),"")</f>
        <v/>
      </c>
      <c r="P80" s="54" t="str" cm="1">
        <f t="array" aca="1" ref="P80" ca="1">IF(ISBLANK($C39),INDIRECT(P$2&amp;"!F"&amp;$D80),"")</f>
        <v/>
      </c>
      <c r="Q80" s="54" t="str" cm="1">
        <f t="array" aca="1" ref="Q80" ca="1">IF(ISBLANK($C39),INDIRECT(Q$2&amp;"!F"&amp;$D80),"")</f>
        <v/>
      </c>
      <c r="R80" s="54" t="str" cm="1">
        <f t="array" aca="1" ref="R80" ca="1">IF(ISBLANK($C39),INDIRECT(R$2&amp;"!F"&amp;$D80),"")</f>
        <v/>
      </c>
      <c r="S80" s="54" t="str" cm="1">
        <f t="array" aca="1" ref="S80" ca="1">IF(ISBLANK($C39),INDIRECT(S$2&amp;"!F"&amp;$D80),"")</f>
        <v/>
      </c>
      <c r="U80" s="50" t="str">
        <f t="shared" si="18"/>
        <v/>
      </c>
      <c r="V80" s="73" t="str">
        <f t="shared" si="15"/>
        <v/>
      </c>
      <c r="W80" s="50"/>
      <c r="X80" s="73" t="str">
        <f t="shared" si="16"/>
        <v/>
      </c>
      <c r="Y80" s="73" t="str">
        <f t="shared" si="17"/>
        <v/>
      </c>
      <c r="Z80" s="73"/>
    </row>
    <row r="81" spans="4:26" ht="15.5" hidden="1" x14ac:dyDescent="0.35">
      <c r="D81">
        <f t="shared" si="14"/>
        <v>39</v>
      </c>
      <c r="E81" s="54" t="str" cm="1">
        <f t="array" aca="1" ref="E81" ca="1">IF(ISBLANK($C40),INDIRECT(E$2&amp;"!F"&amp;$D81),"")</f>
        <v/>
      </c>
      <c r="F81" s="54" t="str" cm="1">
        <f t="array" aca="1" ref="F81" ca="1">IF(ISBLANK($C40),INDIRECT(F$2&amp;"!F"&amp;$D81),"")</f>
        <v/>
      </c>
      <c r="G81" s="54" t="str" cm="1">
        <f t="array" aca="1" ref="G81" ca="1">IF(ISBLANK($C40),INDIRECT(G$2&amp;"!F"&amp;$D81),"")</f>
        <v/>
      </c>
      <c r="H81" s="54" t="str" cm="1">
        <f t="array" aca="1" ref="H81" ca="1">IF(ISBLANK($C40),INDIRECT(H$2&amp;"!F"&amp;$D81),"")</f>
        <v/>
      </c>
      <c r="I81" s="54" t="str" cm="1">
        <f t="array" aca="1" ref="I81" ca="1">IF(ISBLANK($C40),INDIRECT(I$2&amp;"!F"&amp;$D81),"")</f>
        <v/>
      </c>
      <c r="J81" s="54" t="str" cm="1">
        <f t="array" aca="1" ref="J81" ca="1">IF(ISBLANK($C40),INDIRECT(J$2&amp;"!F"&amp;$D81),"")</f>
        <v/>
      </c>
      <c r="K81" s="54" t="str" cm="1">
        <f t="array" aca="1" ref="K81" ca="1">IF(ISBLANK($C40),INDIRECT(K$2&amp;"!F"&amp;$D81),"")</f>
        <v/>
      </c>
      <c r="L81" s="54" t="str" cm="1">
        <f t="array" aca="1" ref="L81" ca="1">IF(ISBLANK($C40),INDIRECT(L$2&amp;"!F"&amp;$D81),"")</f>
        <v/>
      </c>
      <c r="M81" s="54" t="str" cm="1">
        <f t="array" aca="1" ref="M81" ca="1">IF(ISBLANK($C40),INDIRECT(M$2&amp;"!F"&amp;$D81),"")</f>
        <v/>
      </c>
      <c r="N81" s="54" t="str" cm="1">
        <f t="array" aca="1" ref="N81" ca="1">IF(ISBLANK($C40),INDIRECT(N$2&amp;"!F"&amp;$D81),"")</f>
        <v/>
      </c>
      <c r="O81" s="54" t="str" cm="1">
        <f t="array" aca="1" ref="O81" ca="1">IF(ISBLANK($C40),INDIRECT(O$2&amp;"!F"&amp;$D81),"")</f>
        <v/>
      </c>
      <c r="P81" s="54" t="str" cm="1">
        <f t="array" aca="1" ref="P81" ca="1">IF(ISBLANK($C40),INDIRECT(P$2&amp;"!F"&amp;$D81),"")</f>
        <v/>
      </c>
      <c r="Q81" s="54" t="str" cm="1">
        <f t="array" aca="1" ref="Q81" ca="1">IF(ISBLANK($C40),INDIRECT(Q$2&amp;"!F"&amp;$D81),"")</f>
        <v/>
      </c>
      <c r="R81" s="54" t="str" cm="1">
        <f t="array" aca="1" ref="R81" ca="1">IF(ISBLANK($C40),INDIRECT(R$2&amp;"!F"&amp;$D81),"")</f>
        <v/>
      </c>
      <c r="S81" s="54" t="str" cm="1">
        <f t="array" aca="1" ref="S81" ca="1">IF(ISBLANK($C40),INDIRECT(S$2&amp;"!F"&amp;$D81),"")</f>
        <v/>
      </c>
      <c r="U81" s="50" t="str">
        <f t="shared" si="18"/>
        <v/>
      </c>
      <c r="V81" s="73" t="str">
        <f t="shared" si="15"/>
        <v/>
      </c>
      <c r="W81" s="50"/>
      <c r="X81" s="73" t="str">
        <f t="shared" si="16"/>
        <v/>
      </c>
      <c r="Y81" s="73" t="str">
        <f t="shared" si="17"/>
        <v/>
      </c>
      <c r="Z81" s="73"/>
    </row>
    <row r="82" spans="4:26" ht="15.5" hidden="1" x14ac:dyDescent="0.35">
      <c r="D82">
        <f t="shared" si="14"/>
        <v>40</v>
      </c>
      <c r="E82" s="54" t="str" cm="1">
        <f t="array" aca="1" ref="E82" ca="1">IF(ISBLANK($C41),INDIRECT(E$2&amp;"!F"&amp;$D82),"")</f>
        <v/>
      </c>
      <c r="F82" s="54" t="str" cm="1">
        <f t="array" aca="1" ref="F82" ca="1">IF(ISBLANK($C41),INDIRECT(F$2&amp;"!F"&amp;$D82),"")</f>
        <v/>
      </c>
      <c r="G82" s="54" t="str" cm="1">
        <f t="array" aca="1" ref="G82" ca="1">IF(ISBLANK($C41),INDIRECT(G$2&amp;"!F"&amp;$D82),"")</f>
        <v/>
      </c>
      <c r="H82" s="54" t="str" cm="1">
        <f t="array" aca="1" ref="H82" ca="1">IF(ISBLANK($C41),INDIRECT(H$2&amp;"!F"&amp;$D82),"")</f>
        <v/>
      </c>
      <c r="I82" s="54" t="str" cm="1">
        <f t="array" aca="1" ref="I82" ca="1">IF(ISBLANK($C41),INDIRECT(I$2&amp;"!F"&amp;$D82),"")</f>
        <v/>
      </c>
      <c r="J82" s="54" t="str" cm="1">
        <f t="array" aca="1" ref="J82" ca="1">IF(ISBLANK($C41),INDIRECT(J$2&amp;"!F"&amp;$D82),"")</f>
        <v/>
      </c>
      <c r="K82" s="54" t="str" cm="1">
        <f t="array" aca="1" ref="K82" ca="1">IF(ISBLANK($C41),INDIRECT(K$2&amp;"!F"&amp;$D82),"")</f>
        <v/>
      </c>
      <c r="L82" s="54" t="str" cm="1">
        <f t="array" aca="1" ref="L82" ca="1">IF(ISBLANK($C41),INDIRECT(L$2&amp;"!F"&amp;$D82),"")</f>
        <v/>
      </c>
      <c r="M82" s="54" t="str" cm="1">
        <f t="array" aca="1" ref="M82" ca="1">IF(ISBLANK($C41),INDIRECT(M$2&amp;"!F"&amp;$D82),"")</f>
        <v/>
      </c>
      <c r="N82" s="54" t="str" cm="1">
        <f t="array" aca="1" ref="N82" ca="1">IF(ISBLANK($C41),INDIRECT(N$2&amp;"!F"&amp;$D82),"")</f>
        <v/>
      </c>
      <c r="O82" s="54" t="str" cm="1">
        <f t="array" aca="1" ref="O82" ca="1">IF(ISBLANK($C41),INDIRECT(O$2&amp;"!F"&amp;$D82),"")</f>
        <v/>
      </c>
      <c r="P82" s="54" t="str" cm="1">
        <f t="array" aca="1" ref="P82" ca="1">IF(ISBLANK($C41),INDIRECT(P$2&amp;"!F"&amp;$D82),"")</f>
        <v/>
      </c>
      <c r="Q82" s="54" t="str" cm="1">
        <f t="array" aca="1" ref="Q82" ca="1">IF(ISBLANK($C41),INDIRECT(Q$2&amp;"!F"&amp;$D82),"")</f>
        <v/>
      </c>
      <c r="R82" s="54" t="str" cm="1">
        <f t="array" aca="1" ref="R82" ca="1">IF(ISBLANK($C41),INDIRECT(R$2&amp;"!F"&amp;$D82),"")</f>
        <v/>
      </c>
      <c r="S82" s="54" t="str" cm="1">
        <f t="array" aca="1" ref="S82" ca="1">IF(ISBLANK($C41),INDIRECT(S$2&amp;"!F"&amp;$D82),"")</f>
        <v/>
      </c>
      <c r="U82" s="50" t="str">
        <f t="shared" si="18"/>
        <v/>
      </c>
      <c r="V82" s="73" t="str">
        <f t="shared" si="15"/>
        <v/>
      </c>
      <c r="W82" s="50"/>
      <c r="X82" s="73" t="str">
        <f t="shared" si="16"/>
        <v/>
      </c>
      <c r="Y82" s="73" t="str">
        <f t="shared" si="17"/>
        <v/>
      </c>
      <c r="Z82" s="73"/>
    </row>
    <row r="83" spans="4:26" ht="15.5" hidden="1" x14ac:dyDescent="0.35">
      <c r="D83">
        <f t="shared" si="14"/>
        <v>41</v>
      </c>
      <c r="E83" s="54" t="str" cm="1">
        <f t="array" aca="1" ref="E83" ca="1">IF(ISBLANK($C42),INDIRECT(E$2&amp;"!F"&amp;$D83),"")</f>
        <v/>
      </c>
      <c r="F83" s="54" t="str" cm="1">
        <f t="array" aca="1" ref="F83" ca="1">IF(ISBLANK($C42),INDIRECT(F$2&amp;"!F"&amp;$D83),"")</f>
        <v/>
      </c>
      <c r="G83" s="54" t="str" cm="1">
        <f t="array" aca="1" ref="G83" ca="1">IF(ISBLANK($C42),INDIRECT(G$2&amp;"!F"&amp;$D83),"")</f>
        <v/>
      </c>
      <c r="H83" s="54" t="str" cm="1">
        <f t="array" aca="1" ref="H83" ca="1">IF(ISBLANK($C42),INDIRECT(H$2&amp;"!F"&amp;$D83),"")</f>
        <v/>
      </c>
      <c r="I83" s="54" t="str" cm="1">
        <f t="array" aca="1" ref="I83" ca="1">IF(ISBLANK($C42),INDIRECT(I$2&amp;"!F"&amp;$D83),"")</f>
        <v/>
      </c>
      <c r="J83" s="54" t="str" cm="1">
        <f t="array" aca="1" ref="J83" ca="1">IF(ISBLANK($C42),INDIRECT(J$2&amp;"!F"&amp;$D83),"")</f>
        <v/>
      </c>
      <c r="K83" s="54" t="str" cm="1">
        <f t="array" aca="1" ref="K83" ca="1">IF(ISBLANK($C42),INDIRECT(K$2&amp;"!F"&amp;$D83),"")</f>
        <v/>
      </c>
      <c r="L83" s="54" t="str" cm="1">
        <f t="array" aca="1" ref="L83" ca="1">IF(ISBLANK($C42),INDIRECT(L$2&amp;"!F"&amp;$D83),"")</f>
        <v/>
      </c>
      <c r="M83" s="54" t="str" cm="1">
        <f t="array" aca="1" ref="M83" ca="1">IF(ISBLANK($C42),INDIRECT(M$2&amp;"!F"&amp;$D83),"")</f>
        <v/>
      </c>
      <c r="N83" s="54" t="str" cm="1">
        <f t="array" aca="1" ref="N83" ca="1">IF(ISBLANK($C42),INDIRECT(N$2&amp;"!F"&amp;$D83),"")</f>
        <v/>
      </c>
      <c r="O83" s="54" t="str" cm="1">
        <f t="array" aca="1" ref="O83" ca="1">IF(ISBLANK($C42),INDIRECT(O$2&amp;"!F"&amp;$D83),"")</f>
        <v/>
      </c>
      <c r="P83" s="54" t="str" cm="1">
        <f t="array" aca="1" ref="P83" ca="1">IF(ISBLANK($C42),INDIRECT(P$2&amp;"!F"&amp;$D83),"")</f>
        <v/>
      </c>
      <c r="Q83" s="54" t="str" cm="1">
        <f t="array" aca="1" ref="Q83" ca="1">IF(ISBLANK($C42),INDIRECT(Q$2&amp;"!F"&amp;$D83),"")</f>
        <v/>
      </c>
      <c r="R83" s="54" t="str" cm="1">
        <f t="array" aca="1" ref="R83" ca="1">IF(ISBLANK($C42),INDIRECT(R$2&amp;"!F"&amp;$D83),"")</f>
        <v/>
      </c>
      <c r="S83" s="54" t="str" cm="1">
        <f t="array" aca="1" ref="S83" ca="1">IF(ISBLANK($C42),INDIRECT(S$2&amp;"!F"&amp;$D83),"")</f>
        <v/>
      </c>
      <c r="U83" s="50" t="str">
        <f t="shared" si="18"/>
        <v/>
      </c>
      <c r="V83" s="73" t="str">
        <f t="shared" si="15"/>
        <v/>
      </c>
      <c r="W83" s="50"/>
      <c r="X83" s="73" t="str">
        <f t="shared" si="16"/>
        <v/>
      </c>
      <c r="Y83" s="73" t="str">
        <f t="shared" si="17"/>
        <v/>
      </c>
      <c r="Z83" s="73"/>
    </row>
    <row r="84" spans="4:26" ht="15.5" hidden="1" x14ac:dyDescent="0.35">
      <c r="D84">
        <f t="shared" si="14"/>
        <v>42</v>
      </c>
      <c r="E84" s="54" t="str" cm="1">
        <f t="array" aca="1" ref="E84" ca="1">IF(ISBLANK($C43),INDIRECT(E$2&amp;"!F"&amp;$D84),"")</f>
        <v/>
      </c>
      <c r="F84" s="54" t="str" cm="1">
        <f t="array" aca="1" ref="F84" ca="1">IF(ISBLANK($C43),INDIRECT(F$2&amp;"!F"&amp;$D84),"")</f>
        <v/>
      </c>
      <c r="G84" s="54" t="str" cm="1">
        <f t="array" aca="1" ref="G84" ca="1">IF(ISBLANK($C43),INDIRECT(G$2&amp;"!F"&amp;$D84),"")</f>
        <v/>
      </c>
      <c r="H84" s="54" t="str" cm="1">
        <f t="array" aca="1" ref="H84" ca="1">IF(ISBLANK($C43),INDIRECT(H$2&amp;"!F"&amp;$D84),"")</f>
        <v/>
      </c>
      <c r="I84" s="54" t="str" cm="1">
        <f t="array" aca="1" ref="I84" ca="1">IF(ISBLANK($C43),INDIRECT(I$2&amp;"!F"&amp;$D84),"")</f>
        <v/>
      </c>
      <c r="J84" s="54" t="str" cm="1">
        <f t="array" aca="1" ref="J84" ca="1">IF(ISBLANK($C43),INDIRECT(J$2&amp;"!F"&amp;$D84),"")</f>
        <v/>
      </c>
      <c r="K84" s="54" t="str" cm="1">
        <f t="array" aca="1" ref="K84" ca="1">IF(ISBLANK($C43),INDIRECT(K$2&amp;"!F"&amp;$D84),"")</f>
        <v/>
      </c>
      <c r="L84" s="54" t="str" cm="1">
        <f t="array" aca="1" ref="L84" ca="1">IF(ISBLANK($C43),INDIRECT(L$2&amp;"!F"&amp;$D84),"")</f>
        <v/>
      </c>
      <c r="M84" s="54" t="str" cm="1">
        <f t="array" aca="1" ref="M84" ca="1">IF(ISBLANK($C43),INDIRECT(M$2&amp;"!F"&amp;$D84),"")</f>
        <v/>
      </c>
      <c r="N84" s="54" t="str" cm="1">
        <f t="array" aca="1" ref="N84" ca="1">IF(ISBLANK($C43),INDIRECT(N$2&amp;"!F"&amp;$D84),"")</f>
        <v/>
      </c>
      <c r="O84" s="54" t="str" cm="1">
        <f t="array" aca="1" ref="O84" ca="1">IF(ISBLANK($C43),INDIRECT(O$2&amp;"!F"&amp;$D84),"")</f>
        <v/>
      </c>
      <c r="P84" s="54" t="str" cm="1">
        <f t="array" aca="1" ref="P84" ca="1">IF(ISBLANK($C43),INDIRECT(P$2&amp;"!F"&amp;$D84),"")</f>
        <v/>
      </c>
      <c r="Q84" s="54" t="str" cm="1">
        <f t="array" aca="1" ref="Q84" ca="1">IF(ISBLANK($C43),INDIRECT(Q$2&amp;"!F"&amp;$D84),"")</f>
        <v/>
      </c>
      <c r="R84" s="54" t="str" cm="1">
        <f t="array" aca="1" ref="R84" ca="1">IF(ISBLANK($C43),INDIRECT(R$2&amp;"!F"&amp;$D84),"")</f>
        <v/>
      </c>
      <c r="S84" s="54" t="str" cm="1">
        <f t="array" aca="1" ref="S84" ca="1">IF(ISBLANK($C43),INDIRECT(S$2&amp;"!F"&amp;$D84),"")</f>
        <v/>
      </c>
      <c r="U84" s="50" t="str">
        <f t="shared" si="18"/>
        <v/>
      </c>
      <c r="V84" s="73" t="str">
        <f t="shared" si="15"/>
        <v/>
      </c>
      <c r="W84" s="50"/>
      <c r="X84" s="73" t="str">
        <f t="shared" si="16"/>
        <v/>
      </c>
      <c r="Y84" s="73" t="str">
        <f t="shared" si="17"/>
        <v/>
      </c>
      <c r="Z84" s="73"/>
    </row>
    <row r="85" spans="4:26" ht="15.5" hidden="1" x14ac:dyDescent="0.35">
      <c r="D85">
        <f t="shared" si="14"/>
        <v>43</v>
      </c>
      <c r="E85" s="54" t="str" cm="1">
        <f t="array" aca="1" ref="E85" ca="1">IF(ISBLANK($C44),INDIRECT(E$2&amp;"!F"&amp;$D85),"")</f>
        <v/>
      </c>
      <c r="F85" s="54" t="str" cm="1">
        <f t="array" aca="1" ref="F85" ca="1">IF(ISBLANK($C44),INDIRECT(F$2&amp;"!F"&amp;$D85),"")</f>
        <v/>
      </c>
      <c r="G85" s="54" t="str" cm="1">
        <f t="array" aca="1" ref="G85" ca="1">IF(ISBLANK($C44),INDIRECT(G$2&amp;"!F"&amp;$D85),"")</f>
        <v/>
      </c>
      <c r="H85" s="54" t="str" cm="1">
        <f t="array" aca="1" ref="H85" ca="1">IF(ISBLANK($C44),INDIRECT(H$2&amp;"!F"&amp;$D85),"")</f>
        <v/>
      </c>
      <c r="I85" s="54" t="str" cm="1">
        <f t="array" aca="1" ref="I85" ca="1">IF(ISBLANK($C44),INDIRECT(I$2&amp;"!F"&amp;$D85),"")</f>
        <v/>
      </c>
      <c r="J85" s="54" t="str" cm="1">
        <f t="array" aca="1" ref="J85" ca="1">IF(ISBLANK($C44),INDIRECT(J$2&amp;"!F"&amp;$D85),"")</f>
        <v/>
      </c>
      <c r="K85" s="54" t="str" cm="1">
        <f t="array" aca="1" ref="K85" ca="1">IF(ISBLANK($C44),INDIRECT(K$2&amp;"!F"&amp;$D85),"")</f>
        <v/>
      </c>
      <c r="L85" s="54" t="str" cm="1">
        <f t="array" aca="1" ref="L85" ca="1">IF(ISBLANK($C44),INDIRECT(L$2&amp;"!F"&amp;$D85),"")</f>
        <v/>
      </c>
      <c r="M85" s="54" t="str" cm="1">
        <f t="array" aca="1" ref="M85" ca="1">IF(ISBLANK($C44),INDIRECT(M$2&amp;"!F"&amp;$D85),"")</f>
        <v/>
      </c>
      <c r="N85" s="54" t="str" cm="1">
        <f t="array" aca="1" ref="N85" ca="1">IF(ISBLANK($C44),INDIRECT(N$2&amp;"!F"&amp;$D85),"")</f>
        <v/>
      </c>
      <c r="O85" s="54" t="str" cm="1">
        <f t="array" aca="1" ref="O85" ca="1">IF(ISBLANK($C44),INDIRECT(O$2&amp;"!F"&amp;$D85),"")</f>
        <v/>
      </c>
      <c r="P85" s="54" t="str" cm="1">
        <f t="array" aca="1" ref="P85" ca="1">IF(ISBLANK($C44),INDIRECT(P$2&amp;"!F"&amp;$D85),"")</f>
        <v/>
      </c>
      <c r="Q85" s="54" t="str" cm="1">
        <f t="array" aca="1" ref="Q85" ca="1">IF(ISBLANK($C44),INDIRECT(Q$2&amp;"!F"&amp;$D85),"")</f>
        <v/>
      </c>
      <c r="R85" s="54" t="str" cm="1">
        <f t="array" aca="1" ref="R85" ca="1">IF(ISBLANK($C44),INDIRECT(R$2&amp;"!F"&amp;$D85),"")</f>
        <v/>
      </c>
      <c r="S85" s="54" t="str" cm="1">
        <f t="array" aca="1" ref="S85" ca="1">IF(ISBLANK($C44),INDIRECT(S$2&amp;"!F"&amp;$D85),"")</f>
        <v/>
      </c>
      <c r="U85" s="50" t="str">
        <f t="shared" si="18"/>
        <v/>
      </c>
      <c r="V85" s="73" t="str">
        <f t="shared" si="15"/>
        <v/>
      </c>
      <c r="W85" s="50"/>
      <c r="X85" s="73" t="str">
        <f t="shared" si="16"/>
        <v/>
      </c>
      <c r="Y85" s="73" t="str">
        <f t="shared" si="17"/>
        <v/>
      </c>
      <c r="Z85" s="73"/>
    </row>
    <row r="86" spans="4:26" ht="15.5" hidden="1" x14ac:dyDescent="0.35">
      <c r="D86">
        <f t="shared" si="14"/>
        <v>44</v>
      </c>
      <c r="U86" s="50" t="str">
        <f t="shared" si="18"/>
        <v/>
      </c>
      <c r="V86" s="73" t="str">
        <f t="shared" si="15"/>
        <v/>
      </c>
      <c r="W86" s="50"/>
      <c r="X86" s="73" t="str">
        <f t="shared" si="16"/>
        <v/>
      </c>
      <c r="Y86" s="73" t="str">
        <f t="shared" si="17"/>
        <v/>
      </c>
      <c r="Z86" s="73"/>
    </row>
    <row r="87" spans="4:26" ht="15.5" hidden="1" x14ac:dyDescent="0.35">
      <c r="D87">
        <f t="shared" si="14"/>
        <v>45</v>
      </c>
      <c r="U87" s="50" t="str">
        <f t="shared" si="18"/>
        <v/>
      </c>
      <c r="V87" s="73" t="str">
        <f t="shared" si="15"/>
        <v/>
      </c>
      <c r="W87" s="50"/>
      <c r="X87" s="73" t="str">
        <f t="shared" si="16"/>
        <v/>
      </c>
      <c r="Y87" s="73" t="str">
        <f t="shared" si="17"/>
        <v/>
      </c>
      <c r="Z87" s="73"/>
    </row>
    <row r="88" spans="4:26" ht="15.5" hidden="1" x14ac:dyDescent="0.35">
      <c r="D88">
        <f t="shared" si="14"/>
        <v>46</v>
      </c>
      <c r="U88" s="50" t="str">
        <f t="shared" si="18"/>
        <v/>
      </c>
      <c r="V88" s="73" t="str">
        <f t="shared" si="15"/>
        <v/>
      </c>
      <c r="W88" s="50"/>
      <c r="X88" s="73" t="str">
        <f t="shared" si="16"/>
        <v/>
      </c>
      <c r="Y88" s="73" t="str">
        <f t="shared" si="17"/>
        <v/>
      </c>
      <c r="Z88" s="73"/>
    </row>
    <row r="89" spans="4:26" hidden="1" x14ac:dyDescent="0.35"/>
    <row r="90" spans="4:26" hidden="1" x14ac:dyDescent="0.35">
      <c r="V90" s="73">
        <f ca="1">MAX(V5:V44)</f>
        <v>33.92307692307692</v>
      </c>
      <c r="Y90" s="73">
        <f ca="1">MAX(Y5:Y44)</f>
        <v>29.625</v>
      </c>
    </row>
    <row r="91" spans="4:26" hidden="1" x14ac:dyDescent="0.35">
      <c r="V91" s="26" t="str">
        <f ca="1">VLOOKUP(V90,V5:W44,2,FALSE)</f>
        <v>Orange Bowl</v>
      </c>
      <c r="Y91" s="26" t="str">
        <f ca="1">VLOOKUP(Y90,Y5:Z44,2,FALSE)</f>
        <v>Outback Bowl</v>
      </c>
    </row>
    <row r="95" spans="4:26" x14ac:dyDescent="0.35">
      <c r="O95" s="101"/>
    </row>
    <row r="96" spans="4:26" x14ac:dyDescent="0.35">
      <c r="O96" s="100"/>
    </row>
    <row r="99" spans="9:34" x14ac:dyDescent="0.35">
      <c r="Z99" s="26">
        <v>7</v>
      </c>
      <c r="AA99" t="s">
        <v>78</v>
      </c>
      <c r="AB99">
        <v>24</v>
      </c>
      <c r="AC99" t="s">
        <v>148</v>
      </c>
      <c r="AD99">
        <v>14</v>
      </c>
      <c r="AE99" t="s">
        <v>148</v>
      </c>
      <c r="AF99">
        <v>32</v>
      </c>
      <c r="AG99" t="s">
        <v>148</v>
      </c>
      <c r="AH99">
        <v>31</v>
      </c>
    </row>
    <row r="101" spans="9:34" x14ac:dyDescent="0.35">
      <c r="I101" s="98"/>
      <c r="J101" s="98"/>
    </row>
    <row r="102" spans="9:34" x14ac:dyDescent="0.35">
      <c r="J102" s="99"/>
    </row>
  </sheetData>
  <pageMargins left="0.7" right="0.7" top="0.75" bottom="0.75" header="0.3" footer="0.3"/>
  <pageSetup orientation="portrait" horizontalDpi="4294967295" verticalDpi="4294967295" r:id="rId1"/>
  <extLst>
    <ext xmlns:x14="http://schemas.microsoft.com/office/spreadsheetml/2009/9/main" uri="{CCE6A557-97BC-4b89-ADB6-D9C93CAAB3DF}">
      <x14:dataValidations xmlns:xm="http://schemas.microsoft.com/office/excel/2006/main" count="1">
        <x14:dataValidation type="list" allowBlank="1" showInputMessage="1" showErrorMessage="1" xr:uid="{2C431E87-9B98-46DA-959B-1EFAB4B56DCB}">
          <x14:formula1>
            <xm:f>Form!$C4:$D4</xm:f>
          </x14:formula1>
          <xm:sqref>C5:C44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4490-1AB4-4975-85B3-23FC7043D380}">
  <sheetPr codeName="Sheet4"/>
  <dimension ref="A2:J43"/>
  <sheetViews>
    <sheetView showGridLines="0" topLeftCell="A44" workbookViewId="0">
      <selection activeCell="E4" sqref="E4"/>
    </sheetView>
  </sheetViews>
  <sheetFormatPr defaultRowHeight="14.5" x14ac:dyDescent="0.35"/>
  <cols>
    <col min="2" max="5" width="19.1796875" customWidth="1"/>
    <col min="6" max="6" width="11.08984375" bestFit="1" customWidth="1"/>
    <col min="7" max="7" width="19.1796875" customWidth="1"/>
    <col min="8" max="8" width="11.08984375" bestFit="1" customWidth="1"/>
    <col min="9" max="9" width="9.54296875" customWidth="1"/>
    <col min="10" max="10" width="25" customWidth="1"/>
  </cols>
  <sheetData>
    <row r="2" spans="1:10" ht="15" thickBot="1" x14ac:dyDescent="0.4">
      <c r="E2" s="26" t="s">
        <v>142</v>
      </c>
      <c r="F2" s="26"/>
      <c r="G2" s="26" t="s">
        <v>142</v>
      </c>
    </row>
    <row r="3" spans="1:10" ht="16" thickBot="1" x14ac:dyDescent="0.4">
      <c r="A3" s="2" t="s">
        <v>2</v>
      </c>
      <c r="B3" s="2" t="s">
        <v>3</v>
      </c>
      <c r="C3" s="109" t="s">
        <v>4</v>
      </c>
      <c r="D3" s="109"/>
      <c r="E3" s="2" t="s">
        <v>135</v>
      </c>
      <c r="F3" s="2" t="s">
        <v>6</v>
      </c>
      <c r="G3" s="2" t="s">
        <v>133</v>
      </c>
      <c r="H3" s="2" t="s">
        <v>6</v>
      </c>
      <c r="I3" s="2" t="s">
        <v>152</v>
      </c>
      <c r="J3" s="2" t="s">
        <v>154</v>
      </c>
    </row>
    <row r="4" spans="1:10" ht="15" thickTop="1" x14ac:dyDescent="0.35">
      <c r="A4" s="28">
        <v>43819</v>
      </c>
      <c r="B4" s="29" t="s">
        <v>8</v>
      </c>
      <c r="C4" s="30" t="s">
        <v>9</v>
      </c>
      <c r="D4" s="31" t="s">
        <v>10</v>
      </c>
      <c r="E4" s="5" t="str">
        <f ca="1">IF(ISBLANK($E$3),"",VLOOKUP($B4,INDIRECT($E$3&amp;"!$B$4:$F$44"),4,FALSE))</f>
        <v xml:space="preserve">Buffalo </v>
      </c>
      <c r="F4" s="5">
        <f ca="1">IF(ISBLANK($E$3),"",VLOOKUP($B4,INDIRECT($E$3&amp;"!$B$4:$F$44"),5,FALSE))</f>
        <v>31</v>
      </c>
      <c r="G4" s="5" t="str">
        <f ca="1">IF(ISBLANK($G$3),"",VLOOKUP($B4,INDIRECT($G$3&amp;"!$B$4:$F$44"),4,FALSE))</f>
        <v xml:space="preserve">Buffalo </v>
      </c>
      <c r="H4" s="5">
        <f ca="1">IF(ISBLANK($G$3),"",VLOOKUP($B4,INDIRECT($G$3&amp;"!$B$4:$F$44"),5,FALSE))</f>
        <v>25</v>
      </c>
      <c r="I4" s="5" t="str">
        <f ca="1">IF($E4="","",IF($E4=$G4,"Same","Different"))</f>
        <v>Same</v>
      </c>
      <c r="J4" s="5" t="str" cm="1">
        <f t="array" aca="1" ref="J4" ca="1">IF(I4="Different","-",IF(E4="","",_xlfn.IFS(F4&gt;H4,_xlfn.CONCAT((F4-H4)&amp;" points in "&amp;$E$3&amp;"'s favor"),(F4&lt;H4),_xlfn.CONCAT((H4-F4)&amp;" points in "&amp;$G$3&amp;"'s favor"),(F4=H4),"No Difference")))</f>
        <v>6 points in Tyler's favor</v>
      </c>
    </row>
    <row r="5" spans="1:10" x14ac:dyDescent="0.35">
      <c r="A5" s="28">
        <v>43819</v>
      </c>
      <c r="B5" s="29" t="s">
        <v>11</v>
      </c>
      <c r="C5" s="32" t="s">
        <v>12</v>
      </c>
      <c r="D5" s="33" t="s">
        <v>13</v>
      </c>
      <c r="E5" s="5" t="str">
        <f t="shared" ref="E5:E43" ca="1" si="0">IF(ISBLANK($E$3),"",VLOOKUP($B5,INDIRECT($E$3&amp;"!$B$4:$F$44"),4,FALSE))</f>
        <v xml:space="preserve">Utah State </v>
      </c>
      <c r="F5" s="5">
        <f t="shared" ref="F5:F43" ca="1" si="1">IF(ISBLANK($E$3),"",VLOOKUP($B5,INDIRECT($E$3&amp;"!$B$4:$F$44"),5,FALSE))</f>
        <v>26</v>
      </c>
      <c r="G5" s="5" t="str">
        <f t="shared" ref="G5:G43" ca="1" si="2">IF(ISBLANK($G$3),"",VLOOKUP($B5,INDIRECT($G$3&amp;"!$B$4:$F$44"),4,FALSE))</f>
        <v xml:space="preserve">Utah State </v>
      </c>
      <c r="H5" s="5">
        <f t="shared" ref="H5:H43" ca="1" si="3">IF(ISBLANK($G$3),"",VLOOKUP($B5,INDIRECT($G$3&amp;"!$B$4:$F$44"),5,FALSE))</f>
        <v>30</v>
      </c>
      <c r="I5" s="5" t="str">
        <f t="shared" ref="I5:I43" ca="1" si="4">IF($E5="","",IF($E5=$G5,"Same","Different"))</f>
        <v>Same</v>
      </c>
      <c r="J5" s="5" t="str" cm="1">
        <f t="array" aca="1" ref="J5" ca="1">IF(I5="Different","-",IF(E5="","",_xlfn.IFS(F5&gt;H5,_xlfn.CONCAT((F5-H5)&amp;" points in "&amp;$E$3&amp;"'s favor"),(F5&lt;H5),_xlfn.CONCAT((H5-F5)&amp;" points in "&amp;$G$3&amp;"'s favor"),(F5=H5),"No Difference")))</f>
        <v>4 points in Ryan's favor</v>
      </c>
    </row>
    <row r="6" spans="1:10" x14ac:dyDescent="0.35">
      <c r="A6" s="28">
        <v>43820</v>
      </c>
      <c r="B6" s="29" t="s">
        <v>14</v>
      </c>
      <c r="C6" s="32" t="s">
        <v>15</v>
      </c>
      <c r="D6" s="33" t="s">
        <v>16</v>
      </c>
      <c r="E6" s="5" t="str">
        <f t="shared" ca="1" si="0"/>
        <v>North Carolina A&amp;T</v>
      </c>
      <c r="F6" s="5">
        <f t="shared" ca="1" si="1"/>
        <v>17</v>
      </c>
      <c r="G6" s="5" t="str">
        <f t="shared" ca="1" si="2"/>
        <v xml:space="preserve">Alcorn State </v>
      </c>
      <c r="H6" s="5">
        <f t="shared" ca="1" si="3"/>
        <v>1</v>
      </c>
      <c r="I6" s="5" t="str">
        <f t="shared" ca="1" si="4"/>
        <v>Different</v>
      </c>
      <c r="J6" s="5" t="str" cm="1">
        <f t="array" aca="1" ref="J6" ca="1">IF(I6="Different","-",IF(E6="","",_xlfn.IFS(F6&gt;H6,_xlfn.CONCAT((F6-H6)&amp;" points in "&amp;$E$3&amp;"'s favor"),(F6&lt;H6),_xlfn.CONCAT((H6-F6)&amp;" points in "&amp;$G$3&amp;"'s favor"),(F6=H6),"No Difference")))</f>
        <v>-</v>
      </c>
    </row>
    <row r="7" spans="1:10" x14ac:dyDescent="0.35">
      <c r="A7" s="28">
        <v>43820</v>
      </c>
      <c r="B7" s="29" t="s">
        <v>17</v>
      </c>
      <c r="C7" s="32" t="s">
        <v>18</v>
      </c>
      <c r="D7" s="33" t="s">
        <v>19</v>
      </c>
      <c r="E7" s="5" t="str">
        <f t="shared" ca="1" si="0"/>
        <v xml:space="preserve">San Diego State </v>
      </c>
      <c r="F7" s="5">
        <f t="shared" ca="1" si="1"/>
        <v>19</v>
      </c>
      <c r="G7" s="5" t="str">
        <f t="shared" ca="1" si="2"/>
        <v>Central Michigan</v>
      </c>
      <c r="H7" s="5">
        <f t="shared" ca="1" si="3"/>
        <v>6</v>
      </c>
      <c r="I7" s="5" t="str">
        <f t="shared" ca="1" si="4"/>
        <v>Different</v>
      </c>
      <c r="J7" s="5" t="str" cm="1">
        <f t="array" aca="1" ref="J7" ca="1">IF(I7="Different","-",IF(E7="","",_xlfn.IFS(F7&gt;H7,_xlfn.CONCAT((F7-H7)&amp;" points in "&amp;$E$3&amp;"'s favor"),(F7&lt;H7),_xlfn.CONCAT((H7-F7)&amp;" points in "&amp;$G$3&amp;"'s favor"),(F7=H7),"No Difference")))</f>
        <v>-</v>
      </c>
    </row>
    <row r="8" spans="1:10" x14ac:dyDescent="0.35">
      <c r="A8" s="28">
        <v>43820</v>
      </c>
      <c r="B8" s="29" t="s">
        <v>20</v>
      </c>
      <c r="C8" s="32" t="s">
        <v>21</v>
      </c>
      <c r="D8" s="33" t="s">
        <v>22</v>
      </c>
      <c r="E8" s="5" t="str">
        <f t="shared" ca="1" si="0"/>
        <v xml:space="preserve">Georgia Southern </v>
      </c>
      <c r="F8" s="5">
        <f t="shared" ca="1" si="1"/>
        <v>20</v>
      </c>
      <c r="G8" s="5" t="str">
        <f t="shared" ca="1" si="2"/>
        <v xml:space="preserve">Georgia Southern </v>
      </c>
      <c r="H8" s="5">
        <f t="shared" ca="1" si="3"/>
        <v>10</v>
      </c>
      <c r="I8" s="5" t="str">
        <f t="shared" ca="1" si="4"/>
        <v>Same</v>
      </c>
      <c r="J8" s="5" t="str" cm="1">
        <f t="array" aca="1" ref="J8" ca="1">IF(I8="Different","-",IF(E8="","",_xlfn.IFS(F8&gt;H8,_xlfn.CONCAT((F8-H8)&amp;" points in "&amp;$E$3&amp;"'s favor"),(F8&lt;H8),_xlfn.CONCAT((H8-F8)&amp;" points in "&amp;$G$3&amp;"'s favor"),(F8=H8),"No Difference")))</f>
        <v>10 points in Tyler's favor</v>
      </c>
    </row>
    <row r="9" spans="1:10" x14ac:dyDescent="0.35">
      <c r="A9" s="28">
        <v>43820</v>
      </c>
      <c r="B9" s="29" t="s">
        <v>23</v>
      </c>
      <c r="C9" s="32" t="s">
        <v>24</v>
      </c>
      <c r="D9" s="33" t="s">
        <v>25</v>
      </c>
      <c r="E9" s="5" t="str">
        <f t="shared" ca="1" si="0"/>
        <v xml:space="preserve">SMU </v>
      </c>
      <c r="F9" s="5">
        <f t="shared" ca="1" si="1"/>
        <v>22</v>
      </c>
      <c r="G9" s="5" t="str">
        <f t="shared" ca="1" si="2"/>
        <v xml:space="preserve">SMU </v>
      </c>
      <c r="H9" s="5">
        <f t="shared" ca="1" si="3"/>
        <v>29</v>
      </c>
      <c r="I9" s="5" t="str">
        <f t="shared" ca="1" si="4"/>
        <v>Same</v>
      </c>
      <c r="J9" s="5" t="str" cm="1">
        <f t="array" aca="1" ref="J9" ca="1">IF(I9="Different","-",IF(E9="","",_xlfn.IFS(F9&gt;H9,_xlfn.CONCAT((F9-H9)&amp;" points in "&amp;$E$3&amp;"'s favor"),(F9&lt;H9),_xlfn.CONCAT((H9-F9)&amp;" points in "&amp;$G$3&amp;"'s favor"),(F9=H9),"No Difference")))</f>
        <v>7 points in Ryan's favor</v>
      </c>
    </row>
    <row r="10" spans="1:10" x14ac:dyDescent="0.35">
      <c r="A10" s="28">
        <v>43820</v>
      </c>
      <c r="B10" s="29" t="s">
        <v>26</v>
      </c>
      <c r="C10" s="32" t="s">
        <v>27</v>
      </c>
      <c r="D10" s="33" t="s">
        <v>28</v>
      </c>
      <c r="E10" s="5" t="str">
        <f t="shared" ca="1" si="0"/>
        <v>Arkansas State</v>
      </c>
      <c r="F10" s="5">
        <f t="shared" ca="1" si="1"/>
        <v>5</v>
      </c>
      <c r="G10" s="5" t="str">
        <f t="shared" ca="1" si="2"/>
        <v>Arkansas State</v>
      </c>
      <c r="H10" s="5">
        <f t="shared" ca="1" si="3"/>
        <v>12</v>
      </c>
      <c r="I10" s="5" t="str">
        <f t="shared" ca="1" si="4"/>
        <v>Same</v>
      </c>
      <c r="J10" s="5" t="str" cm="1">
        <f t="array" aca="1" ref="J10" ca="1">IF(I10="Different","-",IF(E10="","",_xlfn.IFS(F10&gt;H10,_xlfn.CONCAT((F10-H10)&amp;" points in "&amp;$E$3&amp;"'s favor"),(F10&lt;H10),_xlfn.CONCAT((H10-F10)&amp;" points in "&amp;$G$3&amp;"'s favor"),(F10=H10),"No Difference")))</f>
        <v>7 points in Ryan's favor</v>
      </c>
    </row>
    <row r="11" spans="1:10" x14ac:dyDescent="0.35">
      <c r="A11" s="28">
        <v>43820</v>
      </c>
      <c r="B11" s="29" t="s">
        <v>29</v>
      </c>
      <c r="C11" s="32" t="s">
        <v>30</v>
      </c>
      <c r="D11" s="33" t="s">
        <v>31</v>
      </c>
      <c r="E11" s="5" t="str">
        <f t="shared" ca="1" si="0"/>
        <v xml:space="preserve">Washington </v>
      </c>
      <c r="F11" s="5">
        <f t="shared" ca="1" si="1"/>
        <v>4</v>
      </c>
      <c r="G11" s="5" t="str">
        <f t="shared" ca="1" si="2"/>
        <v xml:space="preserve">Washington </v>
      </c>
      <c r="H11" s="5">
        <f t="shared" ca="1" si="3"/>
        <v>4</v>
      </c>
      <c r="I11" s="5" t="str">
        <f t="shared" ca="1" si="4"/>
        <v>Same</v>
      </c>
      <c r="J11" s="5" t="str" cm="1">
        <f t="array" aca="1" ref="J11" ca="1">IF(I11="Different","-",IF(E11="","",_xlfn.IFS(F11&gt;H11,_xlfn.CONCAT((F11-H11)&amp;" points in "&amp;$E$3&amp;"'s favor"),(F11&lt;H11),_xlfn.CONCAT((H11-F11)&amp;" points in "&amp;$G$3&amp;"'s favor"),(F11=H11),"No Difference")))</f>
        <v>No Difference</v>
      </c>
    </row>
    <row r="12" spans="1:10" x14ac:dyDescent="0.35">
      <c r="A12" s="28">
        <v>43820</v>
      </c>
      <c r="B12" s="29" t="s">
        <v>32</v>
      </c>
      <c r="C12" s="32" t="s">
        <v>33</v>
      </c>
      <c r="D12" s="33" t="s">
        <v>34</v>
      </c>
      <c r="E12" s="5" t="str">
        <f t="shared" ca="1" si="0"/>
        <v xml:space="preserve">Appalachian State </v>
      </c>
      <c r="F12" s="5">
        <f t="shared" ca="1" si="1"/>
        <v>39</v>
      </c>
      <c r="G12" s="5" t="str">
        <f t="shared" ca="1" si="2"/>
        <v xml:space="preserve">Appalachian State </v>
      </c>
      <c r="H12" s="5">
        <f t="shared" ca="1" si="3"/>
        <v>36</v>
      </c>
      <c r="I12" s="5" t="str">
        <f t="shared" ca="1" si="4"/>
        <v>Same</v>
      </c>
      <c r="J12" s="5" t="str" cm="1">
        <f t="array" aca="1" ref="J12" ca="1">IF(I12="Different","-",IF(E12="","",_xlfn.IFS(F12&gt;H12,_xlfn.CONCAT((F12-H12)&amp;" points in "&amp;$E$3&amp;"'s favor"),(F12&lt;H12),_xlfn.CONCAT((H12-F12)&amp;" points in "&amp;$G$3&amp;"'s favor"),(F12=H12),"No Difference")))</f>
        <v>3 points in Tyler's favor</v>
      </c>
    </row>
    <row r="13" spans="1:10" x14ac:dyDescent="0.35">
      <c r="A13" s="28">
        <v>43822</v>
      </c>
      <c r="B13" s="29" t="s">
        <v>35</v>
      </c>
      <c r="C13" s="32" t="s">
        <v>36</v>
      </c>
      <c r="D13" s="33" t="s">
        <v>37</v>
      </c>
      <c r="E13" s="5" t="str">
        <f t="shared" ca="1" si="0"/>
        <v xml:space="preserve">UCF </v>
      </c>
      <c r="F13" s="5">
        <f t="shared" ca="1" si="1"/>
        <v>40</v>
      </c>
      <c r="G13" s="5" t="str">
        <f t="shared" ca="1" si="2"/>
        <v xml:space="preserve">UCF </v>
      </c>
      <c r="H13" s="5">
        <f t="shared" ca="1" si="3"/>
        <v>37</v>
      </c>
      <c r="I13" s="5" t="str">
        <f t="shared" ca="1" si="4"/>
        <v>Same</v>
      </c>
      <c r="J13" s="5" t="str" cm="1">
        <f t="array" aca="1" ref="J13" ca="1">IF(I13="Different","-",IF(E13="","",_xlfn.IFS(F13&gt;H13,_xlfn.CONCAT((F13-H13)&amp;" points in "&amp;$E$3&amp;"'s favor"),(F13&lt;H13),_xlfn.CONCAT((H13-F13)&amp;" points in "&amp;$G$3&amp;"'s favor"),(F13=H13),"No Difference")))</f>
        <v>3 points in Tyler's favor</v>
      </c>
    </row>
    <row r="14" spans="1:10" x14ac:dyDescent="0.35">
      <c r="A14" s="28">
        <v>43823</v>
      </c>
      <c r="B14" s="29" t="s">
        <v>38</v>
      </c>
      <c r="C14" s="32" t="s">
        <v>39</v>
      </c>
      <c r="D14" s="33" t="s">
        <v>40</v>
      </c>
      <c r="E14" s="5" t="str">
        <f t="shared" ca="1" si="0"/>
        <v xml:space="preserve">Hawaii </v>
      </c>
      <c r="F14" s="5">
        <f t="shared" ca="1" si="1"/>
        <v>1</v>
      </c>
      <c r="G14" s="5" t="str">
        <f t="shared" ca="1" si="2"/>
        <v xml:space="preserve">Hawaii </v>
      </c>
      <c r="H14" s="5">
        <f t="shared" ca="1" si="3"/>
        <v>21</v>
      </c>
      <c r="I14" s="5" t="str">
        <f t="shared" ca="1" si="4"/>
        <v>Same</v>
      </c>
      <c r="J14" s="5" t="str" cm="1">
        <f t="array" aca="1" ref="J14" ca="1">IF(I14="Different","-",IF(E14="","",_xlfn.IFS(F14&gt;H14,_xlfn.CONCAT((F14-H14)&amp;" points in "&amp;$E$3&amp;"'s favor"),(F14&lt;H14),_xlfn.CONCAT((H14-F14)&amp;" points in "&amp;$G$3&amp;"'s favor"),(F14=H14),"No Difference")))</f>
        <v>20 points in Ryan's favor</v>
      </c>
    </row>
    <row r="15" spans="1:10" x14ac:dyDescent="0.35">
      <c r="A15" s="28">
        <v>43825</v>
      </c>
      <c r="B15" s="29" t="s">
        <v>41</v>
      </c>
      <c r="C15" s="32" t="s">
        <v>42</v>
      </c>
      <c r="D15" s="33" t="s">
        <v>43</v>
      </c>
      <c r="E15" s="5" t="str">
        <f t="shared" ca="1" si="0"/>
        <v>Louisiana Tech</v>
      </c>
      <c r="F15" s="5">
        <f t="shared" ca="1" si="1"/>
        <v>13</v>
      </c>
      <c r="G15" s="5" t="str">
        <f t="shared" ca="1" si="2"/>
        <v xml:space="preserve">Miami (FL) </v>
      </c>
      <c r="H15" s="5">
        <f t="shared" ca="1" si="3"/>
        <v>2</v>
      </c>
      <c r="I15" s="5" t="str">
        <f t="shared" ca="1" si="4"/>
        <v>Different</v>
      </c>
      <c r="J15" s="5" t="str" cm="1">
        <f t="array" aca="1" ref="J15" ca="1">IF(I15="Different","-",IF(E15="","",_xlfn.IFS(F15&gt;H15,_xlfn.CONCAT((F15-H15)&amp;" points in "&amp;$E$3&amp;"'s favor"),(F15&lt;H15),_xlfn.CONCAT((H15-F15)&amp;" points in "&amp;$G$3&amp;"'s favor"),(F15=H15),"No Difference")))</f>
        <v>-</v>
      </c>
    </row>
    <row r="16" spans="1:10" x14ac:dyDescent="0.35">
      <c r="A16" s="28">
        <v>43825</v>
      </c>
      <c r="B16" s="29" t="s">
        <v>44</v>
      </c>
      <c r="C16" s="32" t="s">
        <v>45</v>
      </c>
      <c r="D16" s="33" t="s">
        <v>46</v>
      </c>
      <c r="E16" s="5" t="str">
        <f t="shared" ca="1" si="0"/>
        <v xml:space="preserve">Pitt </v>
      </c>
      <c r="F16" s="5">
        <f t="shared" ca="1" si="1"/>
        <v>36</v>
      </c>
      <c r="G16" s="5" t="str">
        <f t="shared" ca="1" si="2"/>
        <v xml:space="preserve">Pitt </v>
      </c>
      <c r="H16" s="5">
        <f t="shared" ca="1" si="3"/>
        <v>31</v>
      </c>
      <c r="I16" s="5" t="str">
        <f t="shared" ca="1" si="4"/>
        <v>Same</v>
      </c>
      <c r="J16" s="5" t="str" cm="1">
        <f t="array" aca="1" ref="J16" ca="1">IF(I16="Different","-",IF(E16="","",_xlfn.IFS(F16&gt;H16,_xlfn.CONCAT((F16-H16)&amp;" points in "&amp;$E$3&amp;"'s favor"),(F16&lt;H16),_xlfn.CONCAT((H16-F16)&amp;" points in "&amp;$G$3&amp;"'s favor"),(F16=H16),"No Difference")))</f>
        <v>5 points in Tyler's favor</v>
      </c>
    </row>
    <row r="17" spans="1:10" x14ac:dyDescent="0.35">
      <c r="A17" s="28">
        <v>43826</v>
      </c>
      <c r="B17" s="29" t="s">
        <v>47</v>
      </c>
      <c r="C17" s="32" t="s">
        <v>48</v>
      </c>
      <c r="D17" s="33" t="s">
        <v>49</v>
      </c>
      <c r="E17" s="5" t="str">
        <f t="shared" ca="1" si="0"/>
        <v xml:space="preserve">North Carolina </v>
      </c>
      <c r="F17" s="5">
        <f t="shared" ca="1" si="1"/>
        <v>21</v>
      </c>
      <c r="G17" s="5" t="str">
        <f t="shared" ca="1" si="2"/>
        <v xml:space="preserve">North Carolina </v>
      </c>
      <c r="H17" s="5">
        <f t="shared" ca="1" si="3"/>
        <v>7</v>
      </c>
      <c r="I17" s="5" t="str">
        <f t="shared" ca="1" si="4"/>
        <v>Same</v>
      </c>
      <c r="J17" s="5" t="str" cm="1">
        <f t="array" aca="1" ref="J17" ca="1">IF(I17="Different","-",IF(E17="","",_xlfn.IFS(F17&gt;H17,_xlfn.CONCAT((F17-H17)&amp;" points in "&amp;$E$3&amp;"'s favor"),(F17&lt;H17),_xlfn.CONCAT((H17-F17)&amp;" points in "&amp;$G$3&amp;"'s favor"),(F17=H17),"No Difference")))</f>
        <v>14 points in Tyler's favor</v>
      </c>
    </row>
    <row r="18" spans="1:10" x14ac:dyDescent="0.35">
      <c r="A18" s="28">
        <v>43826</v>
      </c>
      <c r="B18" s="29" t="s">
        <v>50</v>
      </c>
      <c r="C18" s="32" t="s">
        <v>51</v>
      </c>
      <c r="D18" s="33" t="s">
        <v>52</v>
      </c>
      <c r="E18" s="5" t="str">
        <f t="shared" ca="1" si="0"/>
        <v>Michigan State</v>
      </c>
      <c r="F18" s="5">
        <f t="shared" ca="1" si="1"/>
        <v>12</v>
      </c>
      <c r="G18" s="5" t="str">
        <f t="shared" ca="1" si="2"/>
        <v xml:space="preserve">Wake Forest </v>
      </c>
      <c r="H18" s="5">
        <f t="shared" ca="1" si="3"/>
        <v>11</v>
      </c>
      <c r="I18" s="5" t="str">
        <f t="shared" ca="1" si="4"/>
        <v>Different</v>
      </c>
      <c r="J18" s="5" t="str" cm="1">
        <f t="array" aca="1" ref="J18" ca="1">IF(I18="Different","-",IF(E18="","",_xlfn.IFS(F18&gt;H18,_xlfn.CONCAT((F18-H18)&amp;" points in "&amp;$E$3&amp;"'s favor"),(F18&lt;H18),_xlfn.CONCAT((H18-F18)&amp;" points in "&amp;$G$3&amp;"'s favor"),(F18=H18),"No Difference")))</f>
        <v>-</v>
      </c>
    </row>
    <row r="19" spans="1:10" x14ac:dyDescent="0.35">
      <c r="A19" s="28">
        <v>43826</v>
      </c>
      <c r="B19" s="29" t="s">
        <v>53</v>
      </c>
      <c r="C19" s="32" t="s">
        <v>54</v>
      </c>
      <c r="D19" s="33" t="s">
        <v>55</v>
      </c>
      <c r="E19" s="5" t="str">
        <f t="shared" ca="1" si="0"/>
        <v>Texas A&amp;M</v>
      </c>
      <c r="F19" s="5">
        <f t="shared" ca="1" si="1"/>
        <v>14</v>
      </c>
      <c r="G19" s="5" t="str">
        <f t="shared" ca="1" si="2"/>
        <v xml:space="preserve">Oklahoma State </v>
      </c>
      <c r="H19" s="5">
        <f t="shared" ca="1" si="3"/>
        <v>8</v>
      </c>
      <c r="I19" s="5" t="str">
        <f t="shared" ca="1" si="4"/>
        <v>Different</v>
      </c>
      <c r="J19" s="5" t="str" cm="1">
        <f t="array" aca="1" ref="J19" ca="1">IF(I19="Different","-",IF(E19="","",_xlfn.IFS(F19&gt;H19,_xlfn.CONCAT((F19-H19)&amp;" points in "&amp;$E$3&amp;"'s favor"),(F19&lt;H19),_xlfn.CONCAT((H19-F19)&amp;" points in "&amp;$G$3&amp;"'s favor"),(F19=H19),"No Difference")))</f>
        <v>-</v>
      </c>
    </row>
    <row r="20" spans="1:10" x14ac:dyDescent="0.35">
      <c r="A20" s="28">
        <v>43826</v>
      </c>
      <c r="B20" s="29" t="s">
        <v>56</v>
      </c>
      <c r="C20" s="32" t="s">
        <v>57</v>
      </c>
      <c r="D20" s="33" t="s">
        <v>58</v>
      </c>
      <c r="E20" s="5" t="str">
        <f t="shared" ca="1" si="0"/>
        <v>Iowa</v>
      </c>
      <c r="F20" s="5">
        <f t="shared" ca="1" si="1"/>
        <v>6</v>
      </c>
      <c r="G20" s="5" t="str">
        <f t="shared" ca="1" si="2"/>
        <v>Iowa</v>
      </c>
      <c r="H20" s="5">
        <f t="shared" ca="1" si="3"/>
        <v>3</v>
      </c>
      <c r="I20" s="5" t="str">
        <f t="shared" ca="1" si="4"/>
        <v>Same</v>
      </c>
      <c r="J20" s="5" t="str" cm="1">
        <f t="array" aca="1" ref="J20" ca="1">IF(I20="Different","-",IF(E20="","",_xlfn.IFS(F20&gt;H20,_xlfn.CONCAT((F20-H20)&amp;" points in "&amp;$E$3&amp;"'s favor"),(F20&lt;H20),_xlfn.CONCAT((H20-F20)&amp;" points in "&amp;$G$3&amp;"'s favor"),(F20=H20),"No Difference")))</f>
        <v>3 points in Tyler's favor</v>
      </c>
    </row>
    <row r="21" spans="1:10" x14ac:dyDescent="0.35">
      <c r="A21" s="28">
        <v>43826</v>
      </c>
      <c r="B21" s="29" t="s">
        <v>59</v>
      </c>
      <c r="C21" s="32" t="s">
        <v>60</v>
      </c>
      <c r="D21" s="33" t="s">
        <v>61</v>
      </c>
      <c r="E21" s="5" t="str">
        <f t="shared" ca="1" si="0"/>
        <v xml:space="preserve">Air Force </v>
      </c>
      <c r="F21" s="5">
        <f t="shared" ca="1" si="1"/>
        <v>10</v>
      </c>
      <c r="G21" s="5" t="str">
        <f t="shared" ca="1" si="2"/>
        <v xml:space="preserve">Air Force </v>
      </c>
      <c r="H21" s="5">
        <f t="shared" ca="1" si="3"/>
        <v>5</v>
      </c>
      <c r="I21" s="5" t="str">
        <f t="shared" ca="1" si="4"/>
        <v>Same</v>
      </c>
      <c r="J21" s="5" t="str" cm="1">
        <f t="array" aca="1" ref="J21" ca="1">IF(I21="Different","-",IF(E21="","",_xlfn.IFS(F21&gt;H21,_xlfn.CONCAT((F21-H21)&amp;" points in "&amp;$E$3&amp;"'s favor"),(F21&lt;H21),_xlfn.CONCAT((H21-F21)&amp;" points in "&amp;$G$3&amp;"'s favor"),(F21=H21),"No Difference")))</f>
        <v>5 points in Tyler's favor</v>
      </c>
    </row>
    <row r="22" spans="1:10" x14ac:dyDescent="0.35">
      <c r="A22" s="28">
        <v>43827</v>
      </c>
      <c r="B22" s="29" t="s">
        <v>62</v>
      </c>
      <c r="C22" s="32" t="s">
        <v>63</v>
      </c>
      <c r="D22" s="33" t="s">
        <v>64</v>
      </c>
      <c r="E22" s="5" t="str">
        <f t="shared" ca="1" si="0"/>
        <v xml:space="preserve">Notre Dame </v>
      </c>
      <c r="F22" s="5">
        <f t="shared" ca="1" si="1"/>
        <v>24</v>
      </c>
      <c r="G22" s="5" t="str">
        <f t="shared" ca="1" si="2"/>
        <v xml:space="preserve">Notre Dame </v>
      </c>
      <c r="H22" s="5">
        <f t="shared" ca="1" si="3"/>
        <v>38</v>
      </c>
      <c r="I22" s="5" t="str">
        <f t="shared" ca="1" si="4"/>
        <v>Same</v>
      </c>
      <c r="J22" s="5" t="str" cm="1">
        <f t="array" aca="1" ref="J22" ca="1">IF(I22="Different","-",IF(E22="","",_xlfn.IFS(F22&gt;H22,_xlfn.CONCAT((F22-H22)&amp;" points in "&amp;$E$3&amp;"'s favor"),(F22&lt;H22),_xlfn.CONCAT((H22-F22)&amp;" points in "&amp;$G$3&amp;"'s favor"),(F22=H22),"No Difference")))</f>
        <v>14 points in Ryan's favor</v>
      </c>
    </row>
    <row r="23" spans="1:10" x14ac:dyDescent="0.35">
      <c r="A23" s="28">
        <v>43827</v>
      </c>
      <c r="B23" s="29" t="s">
        <v>65</v>
      </c>
      <c r="C23" s="32" t="s">
        <v>66</v>
      </c>
      <c r="D23" s="33" t="s">
        <v>67</v>
      </c>
      <c r="E23" s="5" t="str">
        <f t="shared" ca="1" si="0"/>
        <v xml:space="preserve">Penn State </v>
      </c>
      <c r="F23" s="5">
        <f t="shared" ca="1" si="1"/>
        <v>29</v>
      </c>
      <c r="G23" s="5" t="str">
        <f t="shared" ca="1" si="2"/>
        <v xml:space="preserve">Penn State </v>
      </c>
      <c r="H23" s="5">
        <f t="shared" ca="1" si="3"/>
        <v>34</v>
      </c>
      <c r="I23" s="5" t="str">
        <f t="shared" ca="1" si="4"/>
        <v>Same</v>
      </c>
      <c r="J23" s="5" t="str" cm="1">
        <f t="array" aca="1" ref="J23" ca="1">IF(I23="Different","-",IF(E23="","",_xlfn.IFS(F23&gt;H23,_xlfn.CONCAT((F23-H23)&amp;" points in "&amp;$E$3&amp;"'s favor"),(F23&lt;H23),_xlfn.CONCAT((H23-F23)&amp;" points in "&amp;$G$3&amp;"'s favor"),(F23=H23),"No Difference")))</f>
        <v>5 points in Ryan's favor</v>
      </c>
    </row>
    <row r="24" spans="1:10" x14ac:dyDescent="0.35">
      <c r="A24" s="28">
        <v>43827</v>
      </c>
      <c r="B24" s="29" t="s">
        <v>68</v>
      </c>
      <c r="C24" s="32" t="s">
        <v>69</v>
      </c>
      <c r="D24" s="33" t="s">
        <v>70</v>
      </c>
      <c r="E24" s="5" t="str">
        <f t="shared" ca="1" si="0"/>
        <v xml:space="preserve">LSU </v>
      </c>
      <c r="F24" s="5">
        <f t="shared" ca="1" si="1"/>
        <v>37</v>
      </c>
      <c r="G24" s="5" t="str">
        <f t="shared" ca="1" si="2"/>
        <v xml:space="preserve">LSU </v>
      </c>
      <c r="H24" s="5">
        <f t="shared" ca="1" si="3"/>
        <v>35</v>
      </c>
      <c r="I24" s="5" t="str">
        <f t="shared" ca="1" si="4"/>
        <v>Same</v>
      </c>
      <c r="J24" s="5" t="str" cm="1">
        <f t="array" aca="1" ref="J24" ca="1">IF(I24="Different","-",IF(E24="","",_xlfn.IFS(F24&gt;H24,_xlfn.CONCAT((F24-H24)&amp;" points in "&amp;$E$3&amp;"'s favor"),(F24&lt;H24),_xlfn.CONCAT((H24-F24)&amp;" points in "&amp;$G$3&amp;"'s favor"),(F24=H24),"No Difference")))</f>
        <v>2 points in Tyler's favor</v>
      </c>
    </row>
    <row r="25" spans="1:10" x14ac:dyDescent="0.35">
      <c r="A25" s="28">
        <v>43827</v>
      </c>
      <c r="B25" s="29" t="s">
        <v>71</v>
      </c>
      <c r="C25" s="32" t="s">
        <v>72</v>
      </c>
      <c r="D25" s="33" t="s">
        <v>73</v>
      </c>
      <c r="E25" s="5" t="str">
        <f t="shared" ca="1" si="0"/>
        <v xml:space="preserve">Ohio State </v>
      </c>
      <c r="F25" s="5">
        <f t="shared" ca="1" si="1"/>
        <v>8</v>
      </c>
      <c r="G25" s="5" t="str">
        <f t="shared" ca="1" si="2"/>
        <v>Clemson</v>
      </c>
      <c r="H25" s="5">
        <f t="shared" ca="1" si="3"/>
        <v>23</v>
      </c>
      <c r="I25" s="5" t="str">
        <f t="shared" ca="1" si="4"/>
        <v>Different</v>
      </c>
      <c r="J25" s="5" t="str" cm="1">
        <f t="array" aca="1" ref="J25" ca="1">IF(I25="Different","-",IF(E25="","",_xlfn.IFS(F25&gt;H25,_xlfn.CONCAT((F25-H25)&amp;" points in "&amp;$E$3&amp;"'s favor"),(F25&lt;H25),_xlfn.CONCAT((H25-F25)&amp;" points in "&amp;$G$3&amp;"'s favor"),(F25=H25),"No Difference")))</f>
        <v>-</v>
      </c>
    </row>
    <row r="26" spans="1:10" x14ac:dyDescent="0.35">
      <c r="A26" s="28">
        <v>43829</v>
      </c>
      <c r="B26" s="29" t="s">
        <v>74</v>
      </c>
      <c r="C26" s="32" t="s">
        <v>75</v>
      </c>
      <c r="D26" s="33" t="s">
        <v>76</v>
      </c>
      <c r="E26" s="5" t="str">
        <f t="shared" ca="1" si="0"/>
        <v xml:space="preserve">Western Kentucky </v>
      </c>
      <c r="F26" s="5">
        <f t="shared" ca="1" si="1"/>
        <v>7</v>
      </c>
      <c r="G26" s="5" t="str">
        <f t="shared" ca="1" si="2"/>
        <v xml:space="preserve">Western Kentucky </v>
      </c>
      <c r="H26" s="5">
        <f t="shared" ca="1" si="3"/>
        <v>18</v>
      </c>
      <c r="I26" s="5" t="str">
        <f t="shared" ca="1" si="4"/>
        <v>Same</v>
      </c>
      <c r="J26" s="5" t="str" cm="1">
        <f t="array" aca="1" ref="J26" ca="1">IF(I26="Different","-",IF(E26="","",_xlfn.IFS(F26&gt;H26,_xlfn.CONCAT((F26-H26)&amp;" points in "&amp;$E$3&amp;"'s favor"),(F26&lt;H26),_xlfn.CONCAT((H26-F26)&amp;" points in "&amp;$G$3&amp;"'s favor"),(F26=H26),"No Difference")))</f>
        <v>11 points in Ryan's favor</v>
      </c>
    </row>
    <row r="27" spans="1:10" x14ac:dyDescent="0.35">
      <c r="A27" s="28">
        <v>43829</v>
      </c>
      <c r="B27" s="29" t="s">
        <v>77</v>
      </c>
      <c r="C27" s="32" t="s">
        <v>78</v>
      </c>
      <c r="D27" s="33" t="s">
        <v>148</v>
      </c>
      <c r="E27" s="5" t="str">
        <f t="shared" ca="1" si="0"/>
        <v>Louisville</v>
      </c>
      <c r="F27" s="5">
        <f t="shared" ca="1" si="1"/>
        <v>3</v>
      </c>
      <c r="G27" s="5" t="str">
        <f t="shared" ca="1" si="2"/>
        <v xml:space="preserve">Mississippi State </v>
      </c>
      <c r="H27" s="5">
        <f t="shared" ca="1" si="3"/>
        <v>14</v>
      </c>
      <c r="I27" s="5" t="str">
        <f t="shared" ca="1" si="4"/>
        <v>Different</v>
      </c>
      <c r="J27" s="5" t="str" cm="1">
        <f t="array" aca="1" ref="J27" ca="1">IF(I27="Different","-",IF(E27="","",_xlfn.IFS(F27&gt;H27,_xlfn.CONCAT((F27-H27)&amp;" points in "&amp;$E$3&amp;"'s favor"),(F27&lt;H27),_xlfn.CONCAT((H27-F27)&amp;" points in "&amp;$G$3&amp;"'s favor"),(F27=H27),"No Difference")))</f>
        <v>-</v>
      </c>
    </row>
    <row r="28" spans="1:10" x14ac:dyDescent="0.35">
      <c r="A28" s="28">
        <v>43829</v>
      </c>
      <c r="B28" s="29" t="s">
        <v>80</v>
      </c>
      <c r="C28" s="32" t="s">
        <v>81</v>
      </c>
      <c r="D28" s="33" t="s">
        <v>82</v>
      </c>
      <c r="E28" s="5" t="str">
        <f t="shared" ca="1" si="0"/>
        <v>California</v>
      </c>
      <c r="F28" s="5">
        <f t="shared" ca="1" si="1"/>
        <v>15</v>
      </c>
      <c r="G28" s="5" t="str">
        <f t="shared" ca="1" si="2"/>
        <v>California</v>
      </c>
      <c r="H28" s="5">
        <f t="shared" ca="1" si="3"/>
        <v>17</v>
      </c>
      <c r="I28" s="5" t="str">
        <f t="shared" ca="1" si="4"/>
        <v>Same</v>
      </c>
      <c r="J28" s="5" t="str" cm="1">
        <f t="array" aca="1" ref="J28" ca="1">IF(I28="Different","-",IF(E28="","",_xlfn.IFS(F28&gt;H28,_xlfn.CONCAT((F28-H28)&amp;" points in "&amp;$E$3&amp;"'s favor"),(F28&lt;H28),_xlfn.CONCAT((H28-F28)&amp;" points in "&amp;$G$3&amp;"'s favor"),(F28=H28),"No Difference")))</f>
        <v>2 points in Ryan's favor</v>
      </c>
    </row>
    <row r="29" spans="1:10" x14ac:dyDescent="0.35">
      <c r="A29" s="28">
        <v>43829</v>
      </c>
      <c r="B29" s="29" t="s">
        <v>83</v>
      </c>
      <c r="C29" s="32" t="s">
        <v>84</v>
      </c>
      <c r="D29" s="33" t="s">
        <v>85</v>
      </c>
      <c r="E29" s="5" t="str">
        <f t="shared" ca="1" si="0"/>
        <v xml:space="preserve">Florida </v>
      </c>
      <c r="F29" s="5">
        <f t="shared" ca="1" si="1"/>
        <v>38</v>
      </c>
      <c r="G29" s="5" t="str">
        <f t="shared" ca="1" si="2"/>
        <v xml:space="preserve">Florida </v>
      </c>
      <c r="H29" s="5">
        <f t="shared" ca="1" si="3"/>
        <v>40</v>
      </c>
      <c r="I29" s="5" t="str">
        <f t="shared" ca="1" si="4"/>
        <v>Same</v>
      </c>
      <c r="J29" s="5" t="str" cm="1">
        <f t="array" aca="1" ref="J29" ca="1">IF(I29="Different","-",IF(E29="","",_xlfn.IFS(F29&gt;H29,_xlfn.CONCAT((F29-H29)&amp;" points in "&amp;$E$3&amp;"'s favor"),(F29&lt;H29),_xlfn.CONCAT((H29-F29)&amp;" points in "&amp;$G$3&amp;"'s favor"),(F29=H29),"No Difference")))</f>
        <v>2 points in Ryan's favor</v>
      </c>
    </row>
    <row r="30" spans="1:10" x14ac:dyDescent="0.35">
      <c r="A30" s="28">
        <v>43830</v>
      </c>
      <c r="B30" s="29" t="s">
        <v>86</v>
      </c>
      <c r="C30" s="32" t="s">
        <v>87</v>
      </c>
      <c r="D30" s="33" t="s">
        <v>88</v>
      </c>
      <c r="E30" s="5" t="str">
        <f t="shared" ca="1" si="0"/>
        <v>Virginia Tech</v>
      </c>
      <c r="F30" s="5">
        <f t="shared" ca="1" si="1"/>
        <v>27</v>
      </c>
      <c r="G30" s="5" t="str">
        <f t="shared" ca="1" si="2"/>
        <v xml:space="preserve">Kentucky </v>
      </c>
      <c r="H30" s="5">
        <f t="shared" ca="1" si="3"/>
        <v>20</v>
      </c>
      <c r="I30" s="5" t="str">
        <f t="shared" ca="1" si="4"/>
        <v>Different</v>
      </c>
      <c r="J30" s="5" t="str" cm="1">
        <f t="array" aca="1" ref="J30" ca="1">IF(I30="Different","-",IF(E30="","",_xlfn.IFS(F30&gt;H30,_xlfn.CONCAT((F30-H30)&amp;" points in "&amp;$E$3&amp;"'s favor"),(F30&lt;H30),_xlfn.CONCAT((H30-F30)&amp;" points in "&amp;$G$3&amp;"'s favor"),(F30=H30),"No Difference")))</f>
        <v>-</v>
      </c>
    </row>
    <row r="31" spans="1:10" x14ac:dyDescent="0.35">
      <c r="A31" s="28">
        <v>43830</v>
      </c>
      <c r="B31" s="29" t="s">
        <v>89</v>
      </c>
      <c r="C31" s="32" t="s">
        <v>90</v>
      </c>
      <c r="D31" s="33" t="s">
        <v>91</v>
      </c>
      <c r="E31" s="5" t="str">
        <f t="shared" ca="1" si="0"/>
        <v>Arizona State</v>
      </c>
      <c r="F31" s="5">
        <f t="shared" ca="1" si="1"/>
        <v>33</v>
      </c>
      <c r="G31" s="5" t="str">
        <f t="shared" ca="1" si="2"/>
        <v>Arizona State</v>
      </c>
      <c r="H31" s="5">
        <f t="shared" ca="1" si="3"/>
        <v>28</v>
      </c>
      <c r="I31" s="5" t="str">
        <f t="shared" ca="1" si="4"/>
        <v>Same</v>
      </c>
      <c r="J31" s="5" t="str" cm="1">
        <f t="array" aca="1" ref="J31" ca="1">IF(I31="Different","-",IF(E31="","",_xlfn.IFS(F31&gt;H31,_xlfn.CONCAT((F31-H31)&amp;" points in "&amp;$E$3&amp;"'s favor"),(F31&lt;H31),_xlfn.CONCAT((H31-F31)&amp;" points in "&amp;$G$3&amp;"'s favor"),(F31=H31),"No Difference")))</f>
        <v>5 points in Tyler's favor</v>
      </c>
    </row>
    <row r="32" spans="1:10" x14ac:dyDescent="0.35">
      <c r="A32" s="28">
        <v>43830</v>
      </c>
      <c r="B32" s="29" t="s">
        <v>92</v>
      </c>
      <c r="C32" s="32" t="s">
        <v>93</v>
      </c>
      <c r="D32" s="33" t="s">
        <v>94</v>
      </c>
      <c r="E32" s="5" t="str">
        <f t="shared" ca="1" si="0"/>
        <v>Navy</v>
      </c>
      <c r="F32" s="5">
        <f t="shared" ca="1" si="1"/>
        <v>16</v>
      </c>
      <c r="G32" s="5" t="str">
        <f t="shared" ca="1" si="2"/>
        <v>Navy</v>
      </c>
      <c r="H32" s="5">
        <f t="shared" ca="1" si="3"/>
        <v>26</v>
      </c>
      <c r="I32" s="5" t="str">
        <f t="shared" ca="1" si="4"/>
        <v>Same</v>
      </c>
      <c r="J32" s="5" t="str" cm="1">
        <f t="array" aca="1" ref="J32" ca="1">IF(I32="Different","-",IF(E32="","",_xlfn.IFS(F32&gt;H32,_xlfn.CONCAT((F32-H32)&amp;" points in "&amp;$E$3&amp;"'s favor"),(F32&lt;H32),_xlfn.CONCAT((H32-F32)&amp;" points in "&amp;$G$3&amp;"'s favor"),(F32=H32),"No Difference")))</f>
        <v>10 points in Ryan's favor</v>
      </c>
    </row>
    <row r="33" spans="1:10" x14ac:dyDescent="0.35">
      <c r="A33" s="28">
        <v>43830</v>
      </c>
      <c r="B33" s="29" t="s">
        <v>95</v>
      </c>
      <c r="C33" s="32" t="s">
        <v>96</v>
      </c>
      <c r="D33" s="33" t="s">
        <v>97</v>
      </c>
      <c r="E33" s="5" t="str">
        <f t="shared" ca="1" si="0"/>
        <v>Wyoming</v>
      </c>
      <c r="F33" s="5">
        <f t="shared" ca="1" si="1"/>
        <v>32</v>
      </c>
      <c r="G33" s="5" t="str">
        <f t="shared" ca="1" si="2"/>
        <v>Wyoming</v>
      </c>
      <c r="H33" s="5">
        <f t="shared" ca="1" si="3"/>
        <v>19</v>
      </c>
      <c r="I33" s="5" t="str">
        <f t="shared" ca="1" si="4"/>
        <v>Same</v>
      </c>
      <c r="J33" s="5" t="str" cm="1">
        <f t="array" aca="1" ref="J33" ca="1">IF(I33="Different","-",IF(E33="","",_xlfn.IFS(F33&gt;H33,_xlfn.CONCAT((F33-H33)&amp;" points in "&amp;$E$3&amp;"'s favor"),(F33&lt;H33),_xlfn.CONCAT((H33-F33)&amp;" points in "&amp;$G$3&amp;"'s favor"),(F33=H33),"No Difference")))</f>
        <v>13 points in Tyler's favor</v>
      </c>
    </row>
    <row r="34" spans="1:10" x14ac:dyDescent="0.35">
      <c r="A34" s="28">
        <v>43830</v>
      </c>
      <c r="B34" s="29" t="s">
        <v>98</v>
      </c>
      <c r="C34" s="32" t="s">
        <v>99</v>
      </c>
      <c r="D34" s="33" t="s">
        <v>100</v>
      </c>
      <c r="E34" s="5" t="str">
        <f t="shared" ca="1" si="0"/>
        <v xml:space="preserve">Utah </v>
      </c>
      <c r="F34" s="5">
        <f t="shared" ca="1" si="1"/>
        <v>25</v>
      </c>
      <c r="G34" s="5" t="str">
        <f t="shared" ca="1" si="2"/>
        <v xml:space="preserve">Utah </v>
      </c>
      <c r="H34" s="5">
        <f t="shared" ca="1" si="3"/>
        <v>9</v>
      </c>
      <c r="I34" s="5" t="str">
        <f t="shared" ca="1" si="4"/>
        <v>Same</v>
      </c>
      <c r="J34" s="5" t="str" cm="1">
        <f t="array" aca="1" ref="J34" ca="1">IF(I34="Different","-",IF(E34="","",_xlfn.IFS(F34&gt;H34,_xlfn.CONCAT((F34-H34)&amp;" points in "&amp;$E$3&amp;"'s favor"),(F34&lt;H34),_xlfn.CONCAT((H34-F34)&amp;" points in "&amp;$G$3&amp;"'s favor"),(F34=H34),"No Difference")))</f>
        <v>16 points in Tyler's favor</v>
      </c>
    </row>
    <row r="35" spans="1:10" x14ac:dyDescent="0.35">
      <c r="A35" s="28">
        <v>43466</v>
      </c>
      <c r="B35" s="29" t="s">
        <v>101</v>
      </c>
      <c r="C35" s="32" t="s">
        <v>102</v>
      </c>
      <c r="D35" s="33" t="s">
        <v>103</v>
      </c>
      <c r="E35" s="5" t="str">
        <f t="shared" ca="1" si="0"/>
        <v xml:space="preserve">Alabama </v>
      </c>
      <c r="F35" s="5">
        <f t="shared" ca="1" si="1"/>
        <v>30</v>
      </c>
      <c r="G35" s="5" t="str">
        <f t="shared" ca="1" si="2"/>
        <v xml:space="preserve">Alabama </v>
      </c>
      <c r="H35" s="5">
        <f t="shared" ca="1" si="3"/>
        <v>33</v>
      </c>
      <c r="I35" s="5" t="str">
        <f t="shared" ca="1" si="4"/>
        <v>Same</v>
      </c>
      <c r="J35" s="5" t="str" cm="1">
        <f t="array" aca="1" ref="J35" ca="1">IF(I35="Different","-",IF(E35="","",_xlfn.IFS(F35&gt;H35,_xlfn.CONCAT((F35-H35)&amp;" points in "&amp;$E$3&amp;"'s favor"),(F35&lt;H35),_xlfn.CONCAT((H35-F35)&amp;" points in "&amp;$G$3&amp;"'s favor"),(F35=H35),"No Difference")))</f>
        <v>3 points in Ryan's favor</v>
      </c>
    </row>
    <row r="36" spans="1:10" x14ac:dyDescent="0.35">
      <c r="A36" s="28">
        <v>43466</v>
      </c>
      <c r="B36" s="29" t="s">
        <v>104</v>
      </c>
      <c r="C36" s="32" t="s">
        <v>105</v>
      </c>
      <c r="D36" s="33" t="s">
        <v>106</v>
      </c>
      <c r="E36" s="5" t="str">
        <f t="shared" ca="1" si="0"/>
        <v>Minnesota</v>
      </c>
      <c r="F36" s="5">
        <f t="shared" ca="1" si="1"/>
        <v>2</v>
      </c>
      <c r="G36" s="5" t="str">
        <f t="shared" ca="1" si="2"/>
        <v xml:space="preserve">Auburn </v>
      </c>
      <c r="H36" s="5">
        <f t="shared" ca="1" si="3"/>
        <v>27</v>
      </c>
      <c r="I36" s="5" t="str">
        <f t="shared" ca="1" si="4"/>
        <v>Different</v>
      </c>
      <c r="J36" s="5" t="str" cm="1">
        <f t="array" aca="1" ref="J36" ca="1">IF(I36="Different","-",IF(E36="","",_xlfn.IFS(F36&gt;H36,_xlfn.CONCAT((F36-H36)&amp;" points in "&amp;$E$3&amp;"'s favor"),(F36&lt;H36),_xlfn.CONCAT((H36-F36)&amp;" points in "&amp;$G$3&amp;"'s favor"),(F36=H36),"No Difference")))</f>
        <v>-</v>
      </c>
    </row>
    <row r="37" spans="1:10" x14ac:dyDescent="0.35">
      <c r="A37" s="28">
        <v>43466</v>
      </c>
      <c r="B37" s="29" t="s">
        <v>107</v>
      </c>
      <c r="C37" s="32" t="s">
        <v>108</v>
      </c>
      <c r="D37" s="33" t="s">
        <v>109</v>
      </c>
      <c r="E37" s="5" t="str">
        <f t="shared" ca="1" si="0"/>
        <v>Wisconsin</v>
      </c>
      <c r="F37" s="5">
        <f t="shared" ca="1" si="1"/>
        <v>9</v>
      </c>
      <c r="G37" s="5" t="str">
        <f t="shared" ca="1" si="2"/>
        <v>Wisconsin</v>
      </c>
      <c r="H37" s="5">
        <f t="shared" ca="1" si="3"/>
        <v>15</v>
      </c>
      <c r="I37" s="5" t="str">
        <f t="shared" ca="1" si="4"/>
        <v>Same</v>
      </c>
      <c r="J37" s="5" t="str" cm="1">
        <f t="array" aca="1" ref="J37" ca="1">IF(I37="Different","-",IF(E37="","",_xlfn.IFS(F37&gt;H37,_xlfn.CONCAT((F37-H37)&amp;" points in "&amp;$E$3&amp;"'s favor"),(F37&lt;H37),_xlfn.CONCAT((H37-F37)&amp;" points in "&amp;$G$3&amp;"'s favor"),(F37=H37),"No Difference")))</f>
        <v>6 points in Ryan's favor</v>
      </c>
    </row>
    <row r="38" spans="1:10" x14ac:dyDescent="0.35">
      <c r="A38" s="28">
        <v>43466</v>
      </c>
      <c r="B38" s="29" t="s">
        <v>110</v>
      </c>
      <c r="C38" s="32" t="s">
        <v>111</v>
      </c>
      <c r="D38" s="33" t="s">
        <v>112</v>
      </c>
      <c r="E38" s="5" t="str">
        <f t="shared" ca="1" si="0"/>
        <v xml:space="preserve">Georgia </v>
      </c>
      <c r="F38" s="5">
        <f t="shared" ca="1" si="1"/>
        <v>18</v>
      </c>
      <c r="G38" s="5" t="str">
        <f t="shared" ca="1" si="2"/>
        <v xml:space="preserve">Georgia </v>
      </c>
      <c r="H38" s="5">
        <f t="shared" ca="1" si="3"/>
        <v>22</v>
      </c>
      <c r="I38" s="5" t="str">
        <f t="shared" ca="1" si="4"/>
        <v>Same</v>
      </c>
      <c r="J38" s="5" t="str" cm="1">
        <f t="array" aca="1" ref="J38" ca="1">IF(I38="Different","-",IF(E38="","",_xlfn.IFS(F38&gt;H38,_xlfn.CONCAT((F38-H38)&amp;" points in "&amp;$E$3&amp;"'s favor"),(F38&lt;H38),_xlfn.CONCAT((H38-F38)&amp;" points in "&amp;$G$3&amp;"'s favor"),(F38=H38),"No Difference")))</f>
        <v>4 points in Ryan's favor</v>
      </c>
    </row>
    <row r="39" spans="1:10" x14ac:dyDescent="0.35">
      <c r="A39" s="28">
        <v>43467</v>
      </c>
      <c r="B39" s="29" t="s">
        <v>113</v>
      </c>
      <c r="C39" s="32" t="s">
        <v>114</v>
      </c>
      <c r="D39" s="33" t="s">
        <v>115</v>
      </c>
      <c r="E39" s="5" t="str">
        <f t="shared" ca="1" si="0"/>
        <v>Cincinnati</v>
      </c>
      <c r="F39" s="5">
        <f t="shared" ca="1" si="1"/>
        <v>35</v>
      </c>
      <c r="G39" s="5" t="str">
        <f t="shared" ca="1" si="2"/>
        <v>Cincinnati</v>
      </c>
      <c r="H39" s="5">
        <f t="shared" ca="1" si="3"/>
        <v>39</v>
      </c>
      <c r="I39" s="5" t="str">
        <f t="shared" ca="1" si="4"/>
        <v>Same</v>
      </c>
      <c r="J39" s="5" t="str" cm="1">
        <f t="array" aca="1" ref="J39" ca="1">IF(I39="Different","-",IF(E39="","",_xlfn.IFS(F39&gt;H39,_xlfn.CONCAT((F39-H39)&amp;" points in "&amp;$E$3&amp;"'s favor"),(F39&lt;H39),_xlfn.CONCAT((H39-F39)&amp;" points in "&amp;$G$3&amp;"'s favor"),(F39=H39),"No Difference")))</f>
        <v>4 points in Ryan's favor</v>
      </c>
    </row>
    <row r="40" spans="1:10" x14ac:dyDescent="0.35">
      <c r="A40" s="28">
        <v>43467</v>
      </c>
      <c r="B40" s="29" t="s">
        <v>116</v>
      </c>
      <c r="C40" s="32" t="s">
        <v>117</v>
      </c>
      <c r="D40" s="33" t="s">
        <v>118</v>
      </c>
      <c r="E40" s="5" t="str">
        <f t="shared" ca="1" si="0"/>
        <v xml:space="preserve">Tennessee </v>
      </c>
      <c r="F40" s="5">
        <f t="shared" ca="1" si="1"/>
        <v>11</v>
      </c>
      <c r="G40" s="5" t="str">
        <f t="shared" ca="1" si="2"/>
        <v xml:space="preserve">Tennessee </v>
      </c>
      <c r="H40" s="5">
        <f t="shared" ca="1" si="3"/>
        <v>24</v>
      </c>
      <c r="I40" s="5" t="str">
        <f t="shared" ca="1" si="4"/>
        <v>Same</v>
      </c>
      <c r="J40" s="5" t="str" cm="1">
        <f t="array" aca="1" ref="J40" ca="1">IF(I40="Different","-",IF(E40="","",_xlfn.IFS(F40&gt;H40,_xlfn.CONCAT((F40-H40)&amp;" points in "&amp;$E$3&amp;"'s favor"),(F40&lt;H40),_xlfn.CONCAT((H40-F40)&amp;" points in "&amp;$G$3&amp;"'s favor"),(F40=H40),"No Difference")))</f>
        <v>13 points in Ryan's favor</v>
      </c>
    </row>
    <row r="41" spans="1:10" x14ac:dyDescent="0.35">
      <c r="A41" s="28">
        <v>43468</v>
      </c>
      <c r="B41" s="29" t="s">
        <v>119</v>
      </c>
      <c r="C41" s="32" t="s">
        <v>120</v>
      </c>
      <c r="D41" s="33" t="s">
        <v>121</v>
      </c>
      <c r="E41" s="5" t="str">
        <f t="shared" ca="1" si="0"/>
        <v xml:space="preserve">Ohio </v>
      </c>
      <c r="F41" s="5">
        <f t="shared" ca="1" si="1"/>
        <v>23</v>
      </c>
      <c r="G41" s="5" t="str">
        <f t="shared" ca="1" si="2"/>
        <v xml:space="preserve">Ohio </v>
      </c>
      <c r="H41" s="5">
        <f t="shared" ca="1" si="3"/>
        <v>16</v>
      </c>
      <c r="I41" s="5" t="str">
        <f t="shared" ca="1" si="4"/>
        <v>Same</v>
      </c>
      <c r="J41" s="5" t="str" cm="1">
        <f t="array" aca="1" ref="J41" ca="1">IF(I41="Different","-",IF(E41="","",_xlfn.IFS(F41&gt;H41,_xlfn.CONCAT((F41-H41)&amp;" points in "&amp;$E$3&amp;"'s favor"),(F41&lt;H41),_xlfn.CONCAT((H41-F41)&amp;" points in "&amp;$G$3&amp;"'s favor"),(F41=H41),"No Difference")))</f>
        <v>7 points in Tyler's favor</v>
      </c>
    </row>
    <row r="42" spans="1:10" x14ac:dyDescent="0.35">
      <c r="A42" s="28">
        <v>43469</v>
      </c>
      <c r="B42" s="29" t="s">
        <v>122</v>
      </c>
      <c r="C42" s="32" t="s">
        <v>123</v>
      </c>
      <c r="D42" s="33" t="s">
        <v>124</v>
      </c>
      <c r="E42" s="5" t="str">
        <f t="shared" ca="1" si="0"/>
        <v xml:space="preserve">Tulane </v>
      </c>
      <c r="F42" s="5">
        <f t="shared" ca="1" si="1"/>
        <v>28</v>
      </c>
      <c r="G42" s="5" t="str">
        <f t="shared" ca="1" si="2"/>
        <v>Southern Miss</v>
      </c>
      <c r="H42" s="5">
        <f t="shared" ca="1" si="3"/>
        <v>13</v>
      </c>
      <c r="I42" s="5" t="str">
        <f t="shared" ca="1" si="4"/>
        <v>Different</v>
      </c>
      <c r="J42" s="5" t="str" cm="1">
        <f t="array" aca="1" ref="J42" ca="1">IF(I42="Different","-",IF(E42="","",_xlfn.IFS(F42&gt;H42,_xlfn.CONCAT((F42-H42)&amp;" points in "&amp;$E$3&amp;"'s favor"),(F42&lt;H42),_xlfn.CONCAT((H42-F42)&amp;" points in "&amp;$G$3&amp;"'s favor"),(F42=H42),"No Difference")))</f>
        <v>-</v>
      </c>
    </row>
    <row r="43" spans="1:10" ht="15" thickBot="1" x14ac:dyDescent="0.4">
      <c r="A43" s="34">
        <v>43471</v>
      </c>
      <c r="B43" s="35" t="s">
        <v>125</v>
      </c>
      <c r="C43" s="36" t="s">
        <v>126</v>
      </c>
      <c r="D43" s="37" t="s">
        <v>127</v>
      </c>
      <c r="E43" s="16" t="str">
        <f t="shared" ca="1" si="0"/>
        <v xml:space="preserve">Louisiana </v>
      </c>
      <c r="F43" s="16">
        <f t="shared" ca="1" si="1"/>
        <v>34</v>
      </c>
      <c r="G43" s="16" t="str">
        <f t="shared" ca="1" si="2"/>
        <v xml:space="preserve">Louisiana </v>
      </c>
      <c r="H43" s="16">
        <f t="shared" ca="1" si="3"/>
        <v>32</v>
      </c>
      <c r="I43" s="16" t="str">
        <f t="shared" ca="1" si="4"/>
        <v>Same</v>
      </c>
      <c r="J43" s="16" t="str" cm="1">
        <f t="array" aca="1" ref="J43" ca="1">IF(I43="Different","-",IF(E43="","",_xlfn.IFS(F43&gt;H43,_xlfn.CONCAT((F43-H43)&amp;" points in "&amp;$E$3&amp;"'s favor"),(F43&lt;H43),_xlfn.CONCAT((H43-F43)&amp;" points in "&amp;$G$3&amp;"'s favor"),(F43=H43),"No Difference")))</f>
        <v>2 points in Tyler's favor</v>
      </c>
    </row>
  </sheetData>
  <mergeCells count="1">
    <mergeCell ref="C3:D3"/>
  </mergeCells>
  <dataValidations count="2">
    <dataValidation type="list" allowBlank="1" sqref="E3" xr:uid="{C1F18327-C705-4815-B9FA-8183D1C5D002}">
      <formula1>Participants</formula1>
    </dataValidation>
    <dataValidation type="list" allowBlank="1" showInputMessage="1" showErrorMessage="1" sqref="G3" xr:uid="{94D07047-3567-4F08-9A0A-A6DC7D42265A}">
      <formula1>Participants</formula1>
    </dataValidation>
  </dataValidations>
  <pageMargins left="0.7" right="0.7" top="0.75" bottom="0.75" header="0.3" footer="0.3"/>
  <pageSetup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22C49-C04A-4603-85CE-CA037D8CC989}">
  <sheetPr codeName="Sheet5" filterMode="1"/>
  <dimension ref="A1:AH44"/>
  <sheetViews>
    <sheetView showGridLines="0" zoomScale="80" zoomScaleNormal="80" workbookViewId="0"/>
  </sheetViews>
  <sheetFormatPr defaultRowHeight="14.5" x14ac:dyDescent="0.35"/>
  <cols>
    <col min="1" max="1" width="11.54296875" bestFit="1" customWidth="1"/>
    <col min="2" max="2" width="18.54296875" bestFit="1" customWidth="1"/>
    <col min="3" max="3" width="16.36328125" hidden="1" customWidth="1"/>
    <col min="4" max="4" width="17.1796875" hidden="1" customWidth="1"/>
    <col min="5" max="5" width="19.1796875" style="26" customWidth="1"/>
    <col min="6" max="6" width="3.1796875" style="26" customWidth="1"/>
    <col min="7" max="7" width="19.1796875" style="26" customWidth="1"/>
    <col min="8" max="8" width="3.1796875" style="26" customWidth="1"/>
    <col min="9" max="9" width="19.1796875" style="26" customWidth="1"/>
    <col min="10" max="10" width="3.1796875" style="26" customWidth="1"/>
    <col min="11" max="11" width="19.1796875" style="26" customWidth="1"/>
    <col min="12" max="12" width="3.1796875" style="26" customWidth="1"/>
    <col min="13" max="13" width="19.1796875" style="26" customWidth="1"/>
    <col min="14" max="14" width="3.1796875" style="26" customWidth="1"/>
    <col min="15" max="15" width="19.1796875" style="26" customWidth="1"/>
    <col min="16" max="16" width="3.1796875" style="26" customWidth="1"/>
    <col min="17" max="17" width="19.1796875" style="26" customWidth="1"/>
    <col min="18" max="18" width="3.1796875" style="26" customWidth="1"/>
    <col min="19" max="19" width="19.1796875" style="26" customWidth="1"/>
    <col min="20" max="20" width="3.1796875" style="26" customWidth="1"/>
    <col min="21" max="21" width="19.1796875" style="26" customWidth="1"/>
    <col min="22" max="22" width="3.1796875" style="26" customWidth="1"/>
    <col min="23" max="23" width="19.1796875" style="26" customWidth="1"/>
    <col min="24" max="24" width="3.1796875" style="26" customWidth="1"/>
    <col min="25" max="25" width="19.1796875" style="26" customWidth="1"/>
    <col min="26" max="26" width="3.1796875" style="26" customWidth="1"/>
    <col min="27" max="27" width="19.1796875" style="26" customWidth="1"/>
    <col min="28" max="28" width="3.1796875" style="26" customWidth="1"/>
    <col min="29" max="29" width="19.1796875" style="26" customWidth="1"/>
    <col min="30" max="30" width="3.1796875" style="26" customWidth="1"/>
    <col min="31" max="31" width="19.1796875" style="26" customWidth="1"/>
    <col min="32" max="32" width="3.1796875" style="26" customWidth="1"/>
    <col min="33" max="33" width="19.1796875" style="26" customWidth="1"/>
    <col min="34" max="34" width="3.1796875" style="26" customWidth="1"/>
  </cols>
  <sheetData>
    <row r="1" spans="1:34" x14ac:dyDescent="0.35">
      <c r="A1" t="s">
        <v>147</v>
      </c>
      <c r="B1" s="67">
        <f ca="1">TODAY()</f>
        <v>43857</v>
      </c>
    </row>
    <row r="2" spans="1:34" ht="15" thickBot="1" x14ac:dyDescent="0.4"/>
    <row r="3" spans="1:34" ht="16" thickBot="1" x14ac:dyDescent="0.4">
      <c r="A3" s="2" t="s">
        <v>2</v>
      </c>
      <c r="B3" s="2" t="s">
        <v>3</v>
      </c>
      <c r="C3" s="109" t="s">
        <v>4</v>
      </c>
      <c r="D3" s="109"/>
      <c r="E3" s="110" t="s">
        <v>130</v>
      </c>
      <c r="F3" s="111"/>
      <c r="G3" s="110" t="s">
        <v>131</v>
      </c>
      <c r="H3" s="111"/>
      <c r="I3" s="110" t="s">
        <v>159</v>
      </c>
      <c r="J3" s="111"/>
      <c r="K3" s="110" t="s">
        <v>132</v>
      </c>
      <c r="L3" s="111"/>
      <c r="M3" s="110" t="s">
        <v>133</v>
      </c>
      <c r="N3" s="111"/>
      <c r="O3" s="110" t="s">
        <v>134</v>
      </c>
      <c r="P3" s="111"/>
      <c r="Q3" s="110" t="s">
        <v>160</v>
      </c>
      <c r="R3" s="111"/>
      <c r="S3" s="110" t="s">
        <v>135</v>
      </c>
      <c r="T3" s="111"/>
      <c r="U3" s="110" t="s">
        <v>136</v>
      </c>
      <c r="V3" s="111"/>
      <c r="W3" s="110" t="s">
        <v>137</v>
      </c>
      <c r="X3" s="111"/>
      <c r="Y3" s="110" t="s">
        <v>138</v>
      </c>
      <c r="Z3" s="111"/>
      <c r="AA3" s="110" t="s">
        <v>158</v>
      </c>
      <c r="AB3" s="111"/>
      <c r="AC3" s="110" t="s">
        <v>139</v>
      </c>
      <c r="AD3" s="111"/>
      <c r="AE3" s="110" t="s">
        <v>140</v>
      </c>
      <c r="AF3" s="111"/>
      <c r="AG3" s="110" t="s">
        <v>157</v>
      </c>
      <c r="AH3" s="111"/>
    </row>
    <row r="4" spans="1:34" ht="15" hidden="1" thickTop="1" x14ac:dyDescent="0.35">
      <c r="A4" s="4">
        <v>43819</v>
      </c>
      <c r="B4" s="5" t="s">
        <v>8</v>
      </c>
      <c r="C4" s="6" t="s">
        <v>9</v>
      </c>
      <c r="D4" s="7" t="s">
        <v>10</v>
      </c>
      <c r="E4" s="12" t="str">
        <f ca="1">VLOOKUP($B4,INDIRECT(E$3&amp;"!$B$4:$F$44"),4,FALSE)</f>
        <v xml:space="preserve">Buffalo </v>
      </c>
      <c r="F4" s="13">
        <f ca="1">VLOOKUP($B4,INDIRECT(E$3&amp;"!$B$4:$F$44"),5,FALSE)</f>
        <v>28</v>
      </c>
      <c r="G4" s="12" t="str">
        <f ca="1">VLOOKUP($B4,INDIRECT(G$3&amp;"!$B$4:$F$44"),4,FALSE)</f>
        <v xml:space="preserve">Buffalo </v>
      </c>
      <c r="H4" s="13">
        <f ca="1">VLOOKUP($B4,INDIRECT($G$3&amp;"!$B$4:$F$44"),5,FALSE)</f>
        <v>25</v>
      </c>
      <c r="I4" s="12" t="str">
        <f ca="1">VLOOKUP($B4,INDIRECT(I$3&amp;"!$B$4:$F$44"),4,FALSE)</f>
        <v xml:space="preserve">Buffalo </v>
      </c>
      <c r="J4" s="13">
        <f ca="1">VLOOKUP($B4,INDIRECT($I$3&amp;"!$B$4:$F$44"),5,FALSE)</f>
        <v>1</v>
      </c>
      <c r="K4" s="12" t="str">
        <f ca="1">VLOOKUP($B4,INDIRECT(K$3&amp;"!$B$4:$F$44"),4,FALSE)</f>
        <v xml:space="preserve">Buffalo </v>
      </c>
      <c r="L4" s="13">
        <f ca="1">VLOOKUP($B4,INDIRECT($K$3&amp;"!$B$4:$F$44"),5,FALSE)</f>
        <v>13</v>
      </c>
      <c r="M4" s="12" t="str">
        <f ca="1">VLOOKUP($B4,INDIRECT(M$3&amp;"!$B$4:$F$44"),4,FALSE)</f>
        <v xml:space="preserve">Buffalo </v>
      </c>
      <c r="N4" s="13">
        <f ca="1">VLOOKUP($B4,INDIRECT($M$3&amp;"!$B$4:$F$44"),5,FALSE)</f>
        <v>25</v>
      </c>
      <c r="O4" s="12" t="str">
        <f ca="1">VLOOKUP($B4,INDIRECT(O$3&amp;"!$B$4:$F$44"),4,FALSE)</f>
        <v xml:space="preserve">Buffalo </v>
      </c>
      <c r="P4" s="13">
        <f ca="1">VLOOKUP($B4,INDIRECT($O$3&amp;"!$B$4:$F$44"),5,FALSE)</f>
        <v>5</v>
      </c>
      <c r="Q4" s="12" t="str">
        <f ca="1">VLOOKUP($B4,INDIRECT(Q$3&amp;"!$B$4:$F$44"),4,FALSE)</f>
        <v xml:space="preserve">Buffalo </v>
      </c>
      <c r="R4" s="13">
        <f ca="1">VLOOKUP($B4,INDIRECT($Q$3&amp;"!$B$4:$F$44"),5,FALSE)</f>
        <v>20</v>
      </c>
      <c r="S4" s="12" t="str">
        <f ca="1">VLOOKUP($B4,INDIRECT(S$3&amp;"!$B$4:$F$44"),4,FALSE)</f>
        <v xml:space="preserve">Buffalo </v>
      </c>
      <c r="T4" s="13">
        <f ca="1">VLOOKUP($B4,INDIRECT($S$3&amp;"!$B$4:$F$44"),5,FALSE)</f>
        <v>31</v>
      </c>
      <c r="U4" s="12" t="str">
        <f ca="1">VLOOKUP($B4,INDIRECT(U$3&amp;"!$B$4:$F$44"),4,FALSE)</f>
        <v xml:space="preserve">Buffalo </v>
      </c>
      <c r="V4" s="13">
        <f ca="1">VLOOKUP($B4,INDIRECT($U$3&amp;"!$B$4:$F$44"),5,FALSE)</f>
        <v>12</v>
      </c>
      <c r="W4" s="12" t="str">
        <f ca="1">VLOOKUP($B4,INDIRECT(W$3&amp;"!$B$4:$F$44"),4,FALSE)</f>
        <v xml:space="preserve">Buffalo </v>
      </c>
      <c r="X4" s="13">
        <f ca="1">VLOOKUP($B4,INDIRECT($W$3&amp;"!$B$4:$F$44"),5,FALSE)</f>
        <v>3</v>
      </c>
      <c r="Y4" s="12" t="str">
        <f ca="1">VLOOKUP($B4,INDIRECT(Y$3&amp;"!$B$4:$F$44"),4,FALSE)</f>
        <v xml:space="preserve">Buffalo </v>
      </c>
      <c r="Z4" s="13">
        <f ca="1">VLOOKUP($B4,INDIRECT($Y$3&amp;"!$B$4:$F$44"),5,FALSE)</f>
        <v>19</v>
      </c>
      <c r="AA4" s="12" t="str">
        <f ca="1">VLOOKUP($B4,INDIRECT(AA$3&amp;"!$B$4:$F$44"),4,FALSE)</f>
        <v xml:space="preserve">Buffalo </v>
      </c>
      <c r="AB4" s="13">
        <f ca="1">VLOOKUP($B4,INDIRECT($AA$3&amp;"!$B$4:$F$44"),5,FALSE)</f>
        <v>34</v>
      </c>
      <c r="AC4" s="12" t="str">
        <f ca="1">VLOOKUP($B4,INDIRECT(AC$3&amp;"!$B$4:$F$44"),4,FALSE)</f>
        <v>Charlotte</v>
      </c>
      <c r="AD4" s="13">
        <f ca="1">VLOOKUP($B4,INDIRECT($AC$3&amp;"!$B$4:$F$44"),5,FALSE)</f>
        <v>33</v>
      </c>
      <c r="AE4" s="12" t="str">
        <f ca="1">VLOOKUP($B4,INDIRECT(AE$3&amp;"!$B$4:$F$44"),4,FALSE)</f>
        <v>Charlotte</v>
      </c>
      <c r="AF4" s="13">
        <f ca="1">VLOOKUP($B4,INDIRECT($AE$3&amp;"!$B$4:$F$44"),5,FALSE)</f>
        <v>2</v>
      </c>
      <c r="AG4" s="12" t="str">
        <f ca="1">VLOOKUP($B4,INDIRECT(AG$3&amp;"!$B$4:$F$44"),4,FALSE)</f>
        <v xml:space="preserve">Buffalo </v>
      </c>
      <c r="AH4" s="13">
        <f ca="1">VLOOKUP($B4,INDIRECT($AG$3&amp;"!$B$4:$F$44"),5,FALSE)</f>
        <v>25</v>
      </c>
    </row>
    <row r="5" spans="1:34" ht="15" hidden="1" thickTop="1" x14ac:dyDescent="0.35">
      <c r="A5" s="4">
        <v>43819</v>
      </c>
      <c r="B5" s="5" t="s">
        <v>11</v>
      </c>
      <c r="C5" s="12" t="s">
        <v>12</v>
      </c>
      <c r="D5" s="13" t="s">
        <v>13</v>
      </c>
      <c r="E5" s="12" t="str">
        <f t="shared" ref="E5:E43" ca="1" si="0">VLOOKUP($B5,INDIRECT($E$3&amp;"!$B$4:$F$44"),4,FALSE)</f>
        <v xml:space="preserve">Utah State </v>
      </c>
      <c r="F5" s="13">
        <f t="shared" ref="F5:F43" ca="1" si="1">VLOOKUP($B5,INDIRECT($E$3&amp;"!$B$4:$F$44"),5,FALSE)</f>
        <v>36</v>
      </c>
      <c r="G5" s="12" t="str">
        <f t="shared" ref="G5:G43" ca="1" si="2">VLOOKUP($B5,INDIRECT(G$3&amp;"!$B$4:$F$44"),4,FALSE)</f>
        <v xml:space="preserve">Utah State </v>
      </c>
      <c r="H5" s="13">
        <f ca="1">VLOOKUP($B5,INDIRECT($G$3&amp;"!$B$4:$F$44"),5,FALSE)</f>
        <v>24</v>
      </c>
      <c r="I5" s="12" t="str">
        <f ca="1">VLOOKUP($B5,INDIRECT(I$3&amp;"!$B$4:$F$44"),4,FALSE)</f>
        <v>Kent State</v>
      </c>
      <c r="J5" s="13">
        <f ca="1">VLOOKUP($B5,INDIRECT($I$3&amp;"!$B$4:$F$44"),5,FALSE)</f>
        <v>3</v>
      </c>
      <c r="K5" s="12" t="str">
        <f t="shared" ref="K5:K43" ca="1" si="3">VLOOKUP($B5,INDIRECT(K$3&amp;"!$B$4:$F$44"),4,FALSE)</f>
        <v xml:space="preserve">Utah State </v>
      </c>
      <c r="L5" s="13">
        <f ca="1">VLOOKUP($B5,INDIRECT($K$3&amp;"!$B$4:$F$44"),5,FALSE)</f>
        <v>20</v>
      </c>
      <c r="M5" s="12" t="str">
        <f t="shared" ref="M5:M43" ca="1" si="4">VLOOKUP($B5,INDIRECT(M$3&amp;"!$B$4:$F$44"),4,FALSE)</f>
        <v xml:space="preserve">Utah State </v>
      </c>
      <c r="N5" s="13">
        <f ca="1">VLOOKUP($B5,INDIRECT($M$3&amp;"!$B$4:$F$44"),5,FALSE)</f>
        <v>30</v>
      </c>
      <c r="O5" s="12" t="str">
        <f t="shared" ref="O5:O43" ca="1" si="5">VLOOKUP($B5,INDIRECT(O$3&amp;"!$B$4:$F$44"),4,FALSE)</f>
        <v xml:space="preserve">Utah State </v>
      </c>
      <c r="P5" s="13">
        <f ca="1">VLOOKUP($B5,INDIRECT($O$3&amp;"!$B$4:$F$44"),5,FALSE)</f>
        <v>31</v>
      </c>
      <c r="Q5" s="12" t="str">
        <f t="shared" ref="Q5:Q43" ca="1" si="6">VLOOKUP($B5,INDIRECT(Q$3&amp;"!$B$4:$F$44"),4,FALSE)</f>
        <v xml:space="preserve">Utah State </v>
      </c>
      <c r="R5" s="13">
        <f ca="1">VLOOKUP($B5,INDIRECT($Q$3&amp;"!$B$4:$F$44"),5,FALSE)</f>
        <v>31</v>
      </c>
      <c r="S5" s="12" t="str">
        <f t="shared" ref="S5:S43" ca="1" si="7">VLOOKUP($B5,INDIRECT(S$3&amp;"!$B$4:$F$44"),4,FALSE)</f>
        <v xml:space="preserve">Utah State </v>
      </c>
      <c r="T5" s="13">
        <f ca="1">VLOOKUP($B5,INDIRECT($S$3&amp;"!$B$4:$F$44"),5,FALSE)</f>
        <v>26</v>
      </c>
      <c r="U5" s="12" t="str">
        <f t="shared" ref="U5:U43" ca="1" si="8">VLOOKUP($B5,INDIRECT(U$3&amp;"!$B$4:$F$44"),4,FALSE)</f>
        <v xml:space="preserve">Utah State </v>
      </c>
      <c r="V5" s="13">
        <f ca="1">VLOOKUP($B5,INDIRECT($U$3&amp;"!$B$4:$F$44"),5,FALSE)</f>
        <v>27</v>
      </c>
      <c r="W5" s="12" t="str">
        <f t="shared" ref="W5:W43" ca="1" si="9">VLOOKUP($B5,INDIRECT(W$3&amp;"!$B$4:$F$44"),4,FALSE)</f>
        <v xml:space="preserve">Utah State </v>
      </c>
      <c r="X5" s="13">
        <f t="shared" ref="X5:X43" ca="1" si="10">VLOOKUP($B5,INDIRECT($W$3&amp;"!$B$4:$F$44"),5,FALSE)</f>
        <v>15</v>
      </c>
      <c r="Y5" s="12" t="str">
        <f t="shared" ref="Y5:Y43" ca="1" si="11">VLOOKUP($B5,INDIRECT(Y$3&amp;"!$B$4:$F$44"),4,FALSE)</f>
        <v>Kent State</v>
      </c>
      <c r="Z5" s="13">
        <f t="shared" ref="Z5:Z43" ca="1" si="12">VLOOKUP($B5,INDIRECT($Y$3&amp;"!$B$4:$F$44"),5,FALSE)</f>
        <v>2</v>
      </c>
      <c r="AA5" s="12" t="str">
        <f t="shared" ref="AA5:AA43" ca="1" si="13">VLOOKUP($B5,INDIRECT(AA$3&amp;"!$B$4:$F$44"),4,FALSE)</f>
        <v>Kent State</v>
      </c>
      <c r="AB5" s="13">
        <f t="shared" ref="AB5:AB43" ca="1" si="14">VLOOKUP($B5,INDIRECT($AA$3&amp;"!$B$4:$F$44"),5,FALSE)</f>
        <v>27</v>
      </c>
      <c r="AC5" s="12" t="str">
        <f t="shared" ref="AC5:AC43" ca="1" si="15">VLOOKUP($B5,INDIRECT(AC$3&amp;"!$B$4:$F$44"),4,FALSE)</f>
        <v xml:space="preserve">Utah State </v>
      </c>
      <c r="AD5" s="13">
        <f t="shared" ref="AD5:AD43" ca="1" si="16">VLOOKUP($B5,INDIRECT($AC$3&amp;"!$B$4:$F$44"),5,FALSE)</f>
        <v>15</v>
      </c>
      <c r="AE5" s="12" t="str">
        <f t="shared" ref="AE5:AE43" ca="1" si="17">VLOOKUP($B5,INDIRECT(AE$3&amp;"!$B$4:$F$44"),4,FALSE)</f>
        <v xml:space="preserve">Utah State </v>
      </c>
      <c r="AF5" s="13">
        <f t="shared" ref="AF5:AF43" ca="1" si="18">VLOOKUP($B5,INDIRECT($AE$3&amp;"!$B$4:$F$44"),5,FALSE)</f>
        <v>3</v>
      </c>
      <c r="AG5" s="12" t="str">
        <f t="shared" ref="AG5:AG43" ca="1" si="19">VLOOKUP($B5,INDIRECT(AG$3&amp;"!$B$4:$F$44"),4,FALSE)</f>
        <v xml:space="preserve">Utah State </v>
      </c>
      <c r="AH5" s="13">
        <f t="shared" ref="AH5:AH43" ca="1" si="20">VLOOKUP($B5,INDIRECT($AG$3&amp;"!$B$4:$F$44"),5,FALSE)</f>
        <v>23</v>
      </c>
    </row>
    <row r="6" spans="1:34" ht="15" hidden="1" thickTop="1" x14ac:dyDescent="0.35">
      <c r="A6" s="4">
        <v>43820</v>
      </c>
      <c r="B6" s="5" t="s">
        <v>14</v>
      </c>
      <c r="C6" s="12" t="s">
        <v>15</v>
      </c>
      <c r="D6" s="13" t="s">
        <v>16</v>
      </c>
      <c r="E6" s="12" t="str">
        <f t="shared" ca="1" si="0"/>
        <v>North Carolina A&amp;T</v>
      </c>
      <c r="F6" s="13">
        <f t="shared" ca="1" si="1"/>
        <v>1</v>
      </c>
      <c r="G6" s="12" t="str">
        <f t="shared" ca="1" si="2"/>
        <v>North Carolina A&amp;T</v>
      </c>
      <c r="H6" s="13">
        <f t="shared" ref="H6:H43" ca="1" si="21">VLOOKUP($B6,INDIRECT($G$3&amp;"!$B$4:$F$44"),5,FALSE)</f>
        <v>3</v>
      </c>
      <c r="I6" s="12" t="str">
        <f t="shared" ref="I6:I43" ca="1" si="22">VLOOKUP($B6,INDIRECT(I$3&amp;"!$B$4:$F$44"),4,FALSE)</f>
        <v>North Carolina A&amp;T</v>
      </c>
      <c r="J6" s="13">
        <f t="shared" ref="J6:J43" ca="1" si="23">VLOOKUP($B6,INDIRECT($I$3&amp;"!$B$4:$F$44"),5,FALSE)</f>
        <v>2</v>
      </c>
      <c r="K6" s="12" t="str">
        <f t="shared" ca="1" si="3"/>
        <v>North Carolina A&amp;T</v>
      </c>
      <c r="L6" s="13">
        <f t="shared" ref="L6:L43" ca="1" si="24">VLOOKUP($B6,INDIRECT($K$3&amp;"!$B$4:$F$44"),5,FALSE)</f>
        <v>1</v>
      </c>
      <c r="M6" s="12" t="str">
        <f t="shared" ca="1" si="4"/>
        <v xml:space="preserve">Alcorn State </v>
      </c>
      <c r="N6" s="13">
        <f t="shared" ref="N6:N43" ca="1" si="25">VLOOKUP($B6,INDIRECT($M$3&amp;"!$B$4:$F$44"),5,FALSE)</f>
        <v>1</v>
      </c>
      <c r="O6" s="12" t="str">
        <f t="shared" ca="1" si="5"/>
        <v xml:space="preserve">Alcorn State </v>
      </c>
      <c r="P6" s="13">
        <f t="shared" ref="P6:P43" ca="1" si="26">VLOOKUP($B6,INDIRECT($O$3&amp;"!$B$4:$F$44"),5,FALSE)</f>
        <v>16</v>
      </c>
      <c r="Q6" s="12" t="str">
        <f t="shared" ca="1" si="6"/>
        <v>North Carolina A&amp;T</v>
      </c>
      <c r="R6" s="13">
        <f t="shared" ref="R6:R43" ca="1" si="27">VLOOKUP($B6,INDIRECT($Q$3&amp;"!$B$4:$F$44"),5,FALSE)</f>
        <v>12</v>
      </c>
      <c r="S6" s="12" t="str">
        <f t="shared" ca="1" si="7"/>
        <v>North Carolina A&amp;T</v>
      </c>
      <c r="T6" s="13">
        <f t="shared" ref="T6:T43" ca="1" si="28">VLOOKUP($B6,INDIRECT($S$3&amp;"!$B$4:$F$44"),5,FALSE)</f>
        <v>17</v>
      </c>
      <c r="U6" s="12" t="str">
        <f t="shared" ca="1" si="8"/>
        <v xml:space="preserve">Alcorn State </v>
      </c>
      <c r="V6" s="13">
        <f t="shared" ref="V6:V43" ca="1" si="29">VLOOKUP($B6,INDIRECT($U$3&amp;"!$B$4:$F$44"),5,FALSE)</f>
        <v>1</v>
      </c>
      <c r="W6" s="12" t="str">
        <f t="shared" ca="1" si="9"/>
        <v>North Carolina A&amp;T</v>
      </c>
      <c r="X6" s="13">
        <f t="shared" ca="1" si="10"/>
        <v>2</v>
      </c>
      <c r="Y6" s="12" t="str">
        <f t="shared" ca="1" si="11"/>
        <v>North Carolina A&amp;T</v>
      </c>
      <c r="Z6" s="13">
        <f t="shared" ca="1" si="12"/>
        <v>3</v>
      </c>
      <c r="AA6" s="12" t="str">
        <f t="shared" ca="1" si="13"/>
        <v>North Carolina A&amp;T</v>
      </c>
      <c r="AB6" s="13">
        <f t="shared" ca="1" si="14"/>
        <v>33</v>
      </c>
      <c r="AC6" s="12" t="str">
        <f t="shared" ca="1" si="15"/>
        <v xml:space="preserve">Alcorn State </v>
      </c>
      <c r="AD6" s="13">
        <f t="shared" ca="1" si="16"/>
        <v>1</v>
      </c>
      <c r="AE6" s="12" t="str">
        <f t="shared" ca="1" si="17"/>
        <v xml:space="preserve">Alcorn State </v>
      </c>
      <c r="AF6" s="13">
        <f t="shared" ca="1" si="18"/>
        <v>4</v>
      </c>
      <c r="AG6" s="12" t="str">
        <f t="shared" ca="1" si="19"/>
        <v xml:space="preserve">Alcorn State </v>
      </c>
      <c r="AH6" s="13">
        <f t="shared" ca="1" si="20"/>
        <v>20</v>
      </c>
    </row>
    <row r="7" spans="1:34" ht="15" hidden="1" thickTop="1" x14ac:dyDescent="0.35">
      <c r="A7" s="4">
        <v>43820</v>
      </c>
      <c r="B7" s="5" t="s">
        <v>17</v>
      </c>
      <c r="C7" s="12" t="s">
        <v>18</v>
      </c>
      <c r="D7" s="13" t="s">
        <v>19</v>
      </c>
      <c r="E7" s="12" t="str">
        <f t="shared" ca="1" si="0"/>
        <v xml:space="preserve">San Diego State </v>
      </c>
      <c r="F7" s="13">
        <f t="shared" ca="1" si="1"/>
        <v>25</v>
      </c>
      <c r="G7" s="12" t="str">
        <f t="shared" ca="1" si="2"/>
        <v xml:space="preserve">San Diego State </v>
      </c>
      <c r="H7" s="13">
        <f t="shared" ca="1" si="21"/>
        <v>20</v>
      </c>
      <c r="I7" s="12" t="str">
        <f t="shared" ca="1" si="22"/>
        <v>Central Michigan</v>
      </c>
      <c r="J7" s="13">
        <f t="shared" ca="1" si="23"/>
        <v>8</v>
      </c>
      <c r="K7" s="12" t="str">
        <f t="shared" ca="1" si="3"/>
        <v xml:space="preserve">San Diego State </v>
      </c>
      <c r="L7" s="13">
        <f t="shared" ca="1" si="24"/>
        <v>30</v>
      </c>
      <c r="M7" s="12" t="str">
        <f t="shared" ca="1" si="4"/>
        <v>Central Michigan</v>
      </c>
      <c r="N7" s="13">
        <f t="shared" ca="1" si="25"/>
        <v>6</v>
      </c>
      <c r="O7" s="12" t="str">
        <f t="shared" ca="1" si="5"/>
        <v xml:space="preserve">San Diego State </v>
      </c>
      <c r="P7" s="13">
        <f t="shared" ca="1" si="26"/>
        <v>32</v>
      </c>
      <c r="Q7" s="12" t="str">
        <f t="shared" ca="1" si="6"/>
        <v>Central Michigan</v>
      </c>
      <c r="R7" s="13">
        <f t="shared" ca="1" si="27"/>
        <v>10</v>
      </c>
      <c r="S7" s="12" t="str">
        <f t="shared" ca="1" si="7"/>
        <v xml:space="preserve">San Diego State </v>
      </c>
      <c r="T7" s="13">
        <f t="shared" ca="1" si="28"/>
        <v>19</v>
      </c>
      <c r="U7" s="12" t="str">
        <f t="shared" ca="1" si="8"/>
        <v xml:space="preserve">San Diego State </v>
      </c>
      <c r="V7" s="13">
        <f t="shared" ca="1" si="29"/>
        <v>38</v>
      </c>
      <c r="W7" s="12" t="str">
        <f t="shared" ca="1" si="9"/>
        <v>Central Michigan</v>
      </c>
      <c r="X7" s="13">
        <f t="shared" ca="1" si="10"/>
        <v>5</v>
      </c>
      <c r="Y7" s="12" t="str">
        <f t="shared" ca="1" si="11"/>
        <v>Central Michigan</v>
      </c>
      <c r="Z7" s="13">
        <f t="shared" ca="1" si="12"/>
        <v>22</v>
      </c>
      <c r="AA7" s="12" t="str">
        <f t="shared" ca="1" si="13"/>
        <v xml:space="preserve">San Diego State </v>
      </c>
      <c r="AB7" s="13">
        <f t="shared" ca="1" si="14"/>
        <v>28</v>
      </c>
      <c r="AC7" s="12" t="str">
        <f t="shared" ca="1" si="15"/>
        <v>Central Michigan</v>
      </c>
      <c r="AD7" s="13">
        <f t="shared" ca="1" si="16"/>
        <v>24</v>
      </c>
      <c r="AE7" s="12" t="str">
        <f t="shared" ca="1" si="17"/>
        <v xml:space="preserve">San Diego State </v>
      </c>
      <c r="AF7" s="13">
        <f t="shared" ca="1" si="18"/>
        <v>5</v>
      </c>
      <c r="AG7" s="12" t="str">
        <f t="shared" ca="1" si="19"/>
        <v xml:space="preserve">San Diego State </v>
      </c>
      <c r="AH7" s="13">
        <f t="shared" ca="1" si="20"/>
        <v>26</v>
      </c>
    </row>
    <row r="8" spans="1:34" ht="15" hidden="1" thickTop="1" x14ac:dyDescent="0.35">
      <c r="A8" s="4">
        <v>43820</v>
      </c>
      <c r="B8" s="5" t="s">
        <v>20</v>
      </c>
      <c r="C8" s="12" t="s">
        <v>21</v>
      </c>
      <c r="D8" s="13" t="s">
        <v>22</v>
      </c>
      <c r="E8" s="12" t="str">
        <f t="shared" ca="1" si="0"/>
        <v>Liberty</v>
      </c>
      <c r="F8" s="13">
        <f t="shared" ca="1" si="1"/>
        <v>3</v>
      </c>
      <c r="G8" s="12" t="str">
        <f t="shared" ca="1" si="2"/>
        <v xml:space="preserve">Georgia Southern </v>
      </c>
      <c r="H8" s="13">
        <f t="shared" ca="1" si="21"/>
        <v>21</v>
      </c>
      <c r="I8" s="12" t="str">
        <f t="shared" ca="1" si="22"/>
        <v xml:space="preserve">Georgia Southern </v>
      </c>
      <c r="J8" s="13">
        <f t="shared" ca="1" si="23"/>
        <v>7</v>
      </c>
      <c r="K8" s="12" t="str">
        <f t="shared" ca="1" si="3"/>
        <v xml:space="preserve">Georgia Southern </v>
      </c>
      <c r="L8" s="13">
        <f t="shared" ca="1" si="24"/>
        <v>10</v>
      </c>
      <c r="M8" s="12" t="str">
        <f t="shared" ca="1" si="4"/>
        <v xml:space="preserve">Georgia Southern </v>
      </c>
      <c r="N8" s="13">
        <f t="shared" ca="1" si="25"/>
        <v>10</v>
      </c>
      <c r="O8" s="12" t="str">
        <f t="shared" ca="1" si="5"/>
        <v xml:space="preserve">Georgia Southern </v>
      </c>
      <c r="P8" s="13">
        <f t="shared" ca="1" si="26"/>
        <v>19</v>
      </c>
      <c r="Q8" s="12" t="str">
        <f t="shared" ca="1" si="6"/>
        <v xml:space="preserve">Georgia Southern </v>
      </c>
      <c r="R8" s="13">
        <f t="shared" ca="1" si="27"/>
        <v>24</v>
      </c>
      <c r="S8" s="12" t="str">
        <f t="shared" ca="1" si="7"/>
        <v xml:space="preserve">Georgia Southern </v>
      </c>
      <c r="T8" s="13">
        <f t="shared" ca="1" si="28"/>
        <v>20</v>
      </c>
      <c r="U8" s="12" t="str">
        <f t="shared" ca="1" si="8"/>
        <v xml:space="preserve">Georgia Southern </v>
      </c>
      <c r="V8" s="13">
        <f t="shared" ca="1" si="29"/>
        <v>19</v>
      </c>
      <c r="W8" s="12" t="str">
        <f t="shared" ca="1" si="9"/>
        <v xml:space="preserve">Georgia Southern </v>
      </c>
      <c r="X8" s="13">
        <f t="shared" ca="1" si="10"/>
        <v>7</v>
      </c>
      <c r="Y8" s="12" t="str">
        <f t="shared" ca="1" si="11"/>
        <v xml:space="preserve">Georgia Southern </v>
      </c>
      <c r="Z8" s="13">
        <f t="shared" ca="1" si="12"/>
        <v>28</v>
      </c>
      <c r="AA8" s="12" t="str">
        <f t="shared" ca="1" si="13"/>
        <v xml:space="preserve">Georgia Southern </v>
      </c>
      <c r="AB8" s="13">
        <f t="shared" ca="1" si="14"/>
        <v>32</v>
      </c>
      <c r="AC8" s="12" t="str">
        <f t="shared" ca="1" si="15"/>
        <v>Liberty</v>
      </c>
      <c r="AD8" s="13">
        <f t="shared" ca="1" si="16"/>
        <v>6</v>
      </c>
      <c r="AE8" s="12" t="str">
        <f t="shared" ca="1" si="17"/>
        <v>Liberty</v>
      </c>
      <c r="AF8" s="13">
        <f t="shared" ca="1" si="18"/>
        <v>6</v>
      </c>
      <c r="AG8" s="12" t="str">
        <f t="shared" ca="1" si="19"/>
        <v xml:space="preserve">Georgia Southern </v>
      </c>
      <c r="AH8" s="13">
        <f t="shared" ca="1" si="20"/>
        <v>11</v>
      </c>
    </row>
    <row r="9" spans="1:34" ht="15" hidden="1" thickTop="1" x14ac:dyDescent="0.35">
      <c r="A9" s="4">
        <v>43820</v>
      </c>
      <c r="B9" s="5" t="s">
        <v>23</v>
      </c>
      <c r="C9" s="12" t="s">
        <v>24</v>
      </c>
      <c r="D9" s="13" t="s">
        <v>25</v>
      </c>
      <c r="E9" s="12" t="str">
        <f t="shared" ca="1" si="0"/>
        <v xml:space="preserve">SMU </v>
      </c>
      <c r="F9" s="13">
        <f t="shared" ca="1" si="1"/>
        <v>31</v>
      </c>
      <c r="G9" s="12" t="str">
        <f t="shared" ca="1" si="2"/>
        <v>FAU</v>
      </c>
      <c r="H9" s="13">
        <f t="shared" ca="1" si="21"/>
        <v>13</v>
      </c>
      <c r="I9" s="12" t="str">
        <f t="shared" ca="1" si="22"/>
        <v xml:space="preserve">SMU </v>
      </c>
      <c r="J9" s="13">
        <f t="shared" ca="1" si="23"/>
        <v>22</v>
      </c>
      <c r="K9" s="12" t="str">
        <f t="shared" ca="1" si="3"/>
        <v>FAU</v>
      </c>
      <c r="L9" s="13">
        <f t="shared" ca="1" si="24"/>
        <v>11</v>
      </c>
      <c r="M9" s="12" t="str">
        <f t="shared" ca="1" si="4"/>
        <v xml:space="preserve">SMU </v>
      </c>
      <c r="N9" s="13">
        <f t="shared" ca="1" si="25"/>
        <v>29</v>
      </c>
      <c r="O9" s="12" t="str">
        <f t="shared" ca="1" si="5"/>
        <v xml:space="preserve">SMU </v>
      </c>
      <c r="P9" s="13">
        <f t="shared" ca="1" si="26"/>
        <v>29</v>
      </c>
      <c r="Q9" s="12" t="str">
        <f t="shared" ca="1" si="6"/>
        <v xml:space="preserve">SMU </v>
      </c>
      <c r="R9" s="13">
        <f t="shared" ca="1" si="27"/>
        <v>19</v>
      </c>
      <c r="S9" s="12" t="str">
        <f t="shared" ca="1" si="7"/>
        <v xml:space="preserve">SMU </v>
      </c>
      <c r="T9" s="13">
        <f t="shared" ca="1" si="28"/>
        <v>22</v>
      </c>
      <c r="U9" s="12" t="str">
        <f t="shared" ca="1" si="8"/>
        <v xml:space="preserve">SMU </v>
      </c>
      <c r="V9" s="13">
        <f t="shared" ca="1" si="29"/>
        <v>33</v>
      </c>
      <c r="W9" s="12" t="str">
        <f t="shared" ca="1" si="9"/>
        <v xml:space="preserve">SMU </v>
      </c>
      <c r="X9" s="13">
        <f t="shared" ca="1" si="10"/>
        <v>20</v>
      </c>
      <c r="Y9" s="12" t="str">
        <f t="shared" ca="1" si="11"/>
        <v xml:space="preserve">SMU </v>
      </c>
      <c r="Z9" s="13">
        <f t="shared" ca="1" si="12"/>
        <v>4</v>
      </c>
      <c r="AA9" s="12" t="str">
        <f t="shared" ca="1" si="13"/>
        <v xml:space="preserve">SMU </v>
      </c>
      <c r="AB9" s="13">
        <f t="shared" ca="1" si="14"/>
        <v>30</v>
      </c>
      <c r="AC9" s="12" t="str">
        <f t="shared" ca="1" si="15"/>
        <v xml:space="preserve">SMU </v>
      </c>
      <c r="AD9" s="13">
        <f t="shared" ca="1" si="16"/>
        <v>7</v>
      </c>
      <c r="AE9" s="12" t="str">
        <f t="shared" ca="1" si="17"/>
        <v xml:space="preserve">SMU </v>
      </c>
      <c r="AF9" s="13">
        <f t="shared" ca="1" si="18"/>
        <v>15</v>
      </c>
      <c r="AG9" s="12" t="str">
        <f t="shared" ca="1" si="19"/>
        <v xml:space="preserve">SMU </v>
      </c>
      <c r="AH9" s="13">
        <f t="shared" ca="1" si="20"/>
        <v>18</v>
      </c>
    </row>
    <row r="10" spans="1:34" ht="15" hidden="1" thickTop="1" x14ac:dyDescent="0.35">
      <c r="A10" s="4">
        <v>43820</v>
      </c>
      <c r="B10" s="5" t="s">
        <v>26</v>
      </c>
      <c r="C10" s="12" t="s">
        <v>27</v>
      </c>
      <c r="D10" s="13" t="s">
        <v>28</v>
      </c>
      <c r="E10" s="12" t="str">
        <f t="shared" ca="1" si="0"/>
        <v xml:space="preserve">FIU </v>
      </c>
      <c r="F10" s="13">
        <f t="shared" ca="1" si="1"/>
        <v>4</v>
      </c>
      <c r="G10" s="12" t="str">
        <f t="shared" ca="1" si="2"/>
        <v>Arkansas State</v>
      </c>
      <c r="H10" s="13">
        <f t="shared" ca="1" si="21"/>
        <v>4</v>
      </c>
      <c r="I10" s="12" t="str">
        <f t="shared" ca="1" si="22"/>
        <v xml:space="preserve">FIU </v>
      </c>
      <c r="J10" s="13">
        <f t="shared" ca="1" si="23"/>
        <v>5</v>
      </c>
      <c r="K10" s="12" t="str">
        <f t="shared" ca="1" si="3"/>
        <v>Arkansas State</v>
      </c>
      <c r="L10" s="13">
        <f t="shared" ca="1" si="24"/>
        <v>12</v>
      </c>
      <c r="M10" s="12" t="str">
        <f t="shared" ca="1" si="4"/>
        <v>Arkansas State</v>
      </c>
      <c r="N10" s="13">
        <f t="shared" ca="1" si="25"/>
        <v>12</v>
      </c>
      <c r="O10" s="12" t="str">
        <f t="shared" ca="1" si="5"/>
        <v>Arkansas State</v>
      </c>
      <c r="P10" s="13">
        <f t="shared" ca="1" si="26"/>
        <v>4</v>
      </c>
      <c r="Q10" s="12" t="str">
        <f t="shared" ca="1" si="6"/>
        <v>Arkansas State</v>
      </c>
      <c r="R10" s="13">
        <f t="shared" ca="1" si="27"/>
        <v>28</v>
      </c>
      <c r="S10" s="12" t="str">
        <f t="shared" ca="1" si="7"/>
        <v>Arkansas State</v>
      </c>
      <c r="T10" s="13">
        <f t="shared" ca="1" si="28"/>
        <v>5</v>
      </c>
      <c r="U10" s="12" t="str">
        <f t="shared" ca="1" si="8"/>
        <v>Arkansas State</v>
      </c>
      <c r="V10" s="13">
        <f t="shared" ca="1" si="29"/>
        <v>16</v>
      </c>
      <c r="W10" s="12" t="str">
        <f t="shared" ca="1" si="9"/>
        <v>Arkansas State</v>
      </c>
      <c r="X10" s="13">
        <f t="shared" ca="1" si="10"/>
        <v>10</v>
      </c>
      <c r="Y10" s="12" t="str">
        <f t="shared" ca="1" si="11"/>
        <v>Arkansas State</v>
      </c>
      <c r="Z10" s="13">
        <f t="shared" ca="1" si="12"/>
        <v>29</v>
      </c>
      <c r="AA10" s="12" t="str">
        <f t="shared" ca="1" si="13"/>
        <v xml:space="preserve">FIU </v>
      </c>
      <c r="AB10" s="13">
        <f t="shared" ca="1" si="14"/>
        <v>29</v>
      </c>
      <c r="AC10" s="12" t="str">
        <f t="shared" ca="1" si="15"/>
        <v xml:space="preserve">FIU </v>
      </c>
      <c r="AD10" s="13">
        <f t="shared" ca="1" si="16"/>
        <v>12</v>
      </c>
      <c r="AE10" s="12" t="str">
        <f t="shared" ca="1" si="17"/>
        <v>Arkansas State</v>
      </c>
      <c r="AF10" s="13">
        <f t="shared" ca="1" si="18"/>
        <v>7</v>
      </c>
      <c r="AG10" s="12" t="str">
        <f t="shared" ca="1" si="19"/>
        <v>Arkansas State</v>
      </c>
      <c r="AH10" s="13">
        <f t="shared" ca="1" si="20"/>
        <v>17</v>
      </c>
    </row>
    <row r="11" spans="1:34" ht="15" hidden="1" thickTop="1" x14ac:dyDescent="0.35">
      <c r="A11" s="4">
        <v>43820</v>
      </c>
      <c r="B11" s="5" t="s">
        <v>29</v>
      </c>
      <c r="C11" s="12" t="s">
        <v>30</v>
      </c>
      <c r="D11" s="13" t="s">
        <v>31</v>
      </c>
      <c r="E11" s="12" t="str">
        <f t="shared" ca="1" si="0"/>
        <v xml:space="preserve">Washington </v>
      </c>
      <c r="F11" s="13">
        <f t="shared" ca="1" si="1"/>
        <v>21</v>
      </c>
      <c r="G11" s="12" t="str">
        <f t="shared" ca="1" si="2"/>
        <v xml:space="preserve">Washington </v>
      </c>
      <c r="H11" s="13">
        <f t="shared" ca="1" si="21"/>
        <v>14</v>
      </c>
      <c r="I11" s="12" t="str">
        <f t="shared" ca="1" si="22"/>
        <v xml:space="preserve">Washington </v>
      </c>
      <c r="J11" s="13">
        <f t="shared" ca="1" si="23"/>
        <v>16</v>
      </c>
      <c r="K11" s="12" t="str">
        <f t="shared" ca="1" si="3"/>
        <v>Boise State</v>
      </c>
      <c r="L11" s="13">
        <f t="shared" ca="1" si="24"/>
        <v>28</v>
      </c>
      <c r="M11" s="12" t="str">
        <f t="shared" ca="1" si="4"/>
        <v xml:space="preserve">Washington </v>
      </c>
      <c r="N11" s="13">
        <f t="shared" ca="1" si="25"/>
        <v>4</v>
      </c>
      <c r="O11" s="12" t="str">
        <f t="shared" ca="1" si="5"/>
        <v xml:space="preserve">Washington </v>
      </c>
      <c r="P11" s="13">
        <f t="shared" ca="1" si="26"/>
        <v>28</v>
      </c>
      <c r="Q11" s="12" t="str">
        <f t="shared" ca="1" si="6"/>
        <v xml:space="preserve">Washington </v>
      </c>
      <c r="R11" s="13">
        <f t="shared" ca="1" si="27"/>
        <v>22</v>
      </c>
      <c r="S11" s="12" t="str">
        <f t="shared" ca="1" si="7"/>
        <v xml:space="preserve">Washington </v>
      </c>
      <c r="T11" s="13">
        <f t="shared" ca="1" si="28"/>
        <v>4</v>
      </c>
      <c r="U11" s="12" t="str">
        <f t="shared" ca="1" si="8"/>
        <v>Boise State</v>
      </c>
      <c r="V11" s="13">
        <f t="shared" ca="1" si="29"/>
        <v>5</v>
      </c>
      <c r="W11" s="12" t="str">
        <f t="shared" ca="1" si="9"/>
        <v>Boise State</v>
      </c>
      <c r="X11" s="13">
        <f t="shared" ca="1" si="10"/>
        <v>9</v>
      </c>
      <c r="Y11" s="12" t="str">
        <f t="shared" ca="1" si="11"/>
        <v>Boise State</v>
      </c>
      <c r="Z11" s="13">
        <f t="shared" ca="1" si="12"/>
        <v>33</v>
      </c>
      <c r="AA11" s="12" t="str">
        <f t="shared" ca="1" si="13"/>
        <v xml:space="preserve">Washington </v>
      </c>
      <c r="AB11" s="13">
        <f t="shared" ca="1" si="14"/>
        <v>31</v>
      </c>
      <c r="AC11" s="12" t="str">
        <f t="shared" ca="1" si="15"/>
        <v xml:space="preserve">Washington </v>
      </c>
      <c r="AD11" s="13">
        <f t="shared" ca="1" si="16"/>
        <v>10</v>
      </c>
      <c r="AE11" s="12" t="str">
        <f t="shared" ca="1" si="17"/>
        <v xml:space="preserve">Washington </v>
      </c>
      <c r="AF11" s="13">
        <f t="shared" ca="1" si="18"/>
        <v>20</v>
      </c>
      <c r="AG11" s="12" t="str">
        <f t="shared" ca="1" si="19"/>
        <v>Boise State</v>
      </c>
      <c r="AH11" s="13">
        <f t="shared" ca="1" si="20"/>
        <v>22</v>
      </c>
    </row>
    <row r="12" spans="1:34" ht="15" hidden="1" thickTop="1" x14ac:dyDescent="0.35">
      <c r="A12" s="4">
        <v>43820</v>
      </c>
      <c r="B12" s="5" t="s">
        <v>32</v>
      </c>
      <c r="C12" s="12" t="s">
        <v>33</v>
      </c>
      <c r="D12" s="13" t="s">
        <v>34</v>
      </c>
      <c r="E12" s="12" t="str">
        <f t="shared" ca="1" si="0"/>
        <v xml:space="preserve">Appalachian State </v>
      </c>
      <c r="F12" s="13">
        <f t="shared" ca="1" si="1"/>
        <v>39</v>
      </c>
      <c r="G12" s="12" t="str">
        <f t="shared" ca="1" si="2"/>
        <v xml:space="preserve">Appalachian State </v>
      </c>
      <c r="H12" s="13">
        <f t="shared" ca="1" si="21"/>
        <v>37</v>
      </c>
      <c r="I12" s="12" t="str">
        <f t="shared" ca="1" si="22"/>
        <v xml:space="preserve">Appalachian State </v>
      </c>
      <c r="J12" s="13">
        <f t="shared" ca="1" si="23"/>
        <v>37</v>
      </c>
      <c r="K12" s="12" t="str">
        <f t="shared" ca="1" si="3"/>
        <v xml:space="preserve">Appalachian State </v>
      </c>
      <c r="L12" s="13">
        <f t="shared" ca="1" si="24"/>
        <v>40</v>
      </c>
      <c r="M12" s="12" t="str">
        <f t="shared" ca="1" si="4"/>
        <v xml:space="preserve">Appalachian State </v>
      </c>
      <c r="N12" s="13">
        <f t="shared" ca="1" si="25"/>
        <v>36</v>
      </c>
      <c r="O12" s="12" t="str">
        <f t="shared" ca="1" si="5"/>
        <v xml:space="preserve">Appalachian State </v>
      </c>
      <c r="P12" s="13">
        <f t="shared" ca="1" si="26"/>
        <v>20</v>
      </c>
      <c r="Q12" s="12" t="str">
        <f t="shared" ca="1" si="6"/>
        <v xml:space="preserve">Appalachian State </v>
      </c>
      <c r="R12" s="13">
        <f t="shared" ca="1" si="27"/>
        <v>35</v>
      </c>
      <c r="S12" s="12" t="str">
        <f t="shared" ca="1" si="7"/>
        <v xml:space="preserve">Appalachian State </v>
      </c>
      <c r="T12" s="13">
        <f t="shared" ca="1" si="28"/>
        <v>39</v>
      </c>
      <c r="U12" s="12" t="str">
        <f t="shared" ca="1" si="8"/>
        <v xml:space="preserve">Appalachian State </v>
      </c>
      <c r="V12" s="13">
        <f t="shared" ca="1" si="29"/>
        <v>37</v>
      </c>
      <c r="W12" s="12" t="str">
        <f t="shared" ca="1" si="9"/>
        <v xml:space="preserve">Appalachian State </v>
      </c>
      <c r="X12" s="13">
        <f t="shared" ca="1" si="10"/>
        <v>30</v>
      </c>
      <c r="Y12" s="12" t="str">
        <f t="shared" ca="1" si="11"/>
        <v xml:space="preserve">Appalachian State </v>
      </c>
      <c r="Z12" s="13">
        <f t="shared" ca="1" si="12"/>
        <v>5</v>
      </c>
      <c r="AA12" s="12" t="str">
        <f t="shared" ca="1" si="13"/>
        <v xml:space="preserve">Appalachian State </v>
      </c>
      <c r="AB12" s="13">
        <f t="shared" ca="1" si="14"/>
        <v>1</v>
      </c>
      <c r="AC12" s="12" t="str">
        <f t="shared" ca="1" si="15"/>
        <v xml:space="preserve">Appalachian State </v>
      </c>
      <c r="AD12" s="13">
        <f t="shared" ca="1" si="16"/>
        <v>29</v>
      </c>
      <c r="AE12" s="12" t="str">
        <f t="shared" ca="1" si="17"/>
        <v xml:space="preserve">Appalachian State </v>
      </c>
      <c r="AF12" s="13">
        <f t="shared" ca="1" si="18"/>
        <v>39</v>
      </c>
      <c r="AG12" s="12" t="str">
        <f t="shared" ca="1" si="19"/>
        <v xml:space="preserve">Appalachian State </v>
      </c>
      <c r="AH12" s="13">
        <f t="shared" ca="1" si="20"/>
        <v>28</v>
      </c>
    </row>
    <row r="13" spans="1:34" ht="15" hidden="1" thickTop="1" x14ac:dyDescent="0.35">
      <c r="A13" s="4">
        <v>43822</v>
      </c>
      <c r="B13" s="5" t="s">
        <v>35</v>
      </c>
      <c r="C13" s="12" t="s">
        <v>36</v>
      </c>
      <c r="D13" s="13" t="s">
        <v>37</v>
      </c>
      <c r="E13" s="12" t="str">
        <f t="shared" ca="1" si="0"/>
        <v xml:space="preserve">UCF </v>
      </c>
      <c r="F13" s="13">
        <f t="shared" ca="1" si="1"/>
        <v>35</v>
      </c>
      <c r="G13" s="12" t="str">
        <f t="shared" ca="1" si="2"/>
        <v xml:space="preserve">UCF </v>
      </c>
      <c r="H13" s="13">
        <f t="shared" ca="1" si="21"/>
        <v>38</v>
      </c>
      <c r="I13" s="12" t="str">
        <f t="shared" ca="1" si="22"/>
        <v xml:space="preserve">UCF </v>
      </c>
      <c r="J13" s="13">
        <f t="shared" ca="1" si="23"/>
        <v>36</v>
      </c>
      <c r="K13" s="12" t="str">
        <f t="shared" ca="1" si="3"/>
        <v xml:space="preserve">UCF </v>
      </c>
      <c r="L13" s="13">
        <f t="shared" ca="1" si="24"/>
        <v>39</v>
      </c>
      <c r="M13" s="12" t="str">
        <f t="shared" ca="1" si="4"/>
        <v xml:space="preserve">UCF </v>
      </c>
      <c r="N13" s="13">
        <f t="shared" ca="1" si="25"/>
        <v>37</v>
      </c>
      <c r="O13" s="12" t="str">
        <f t="shared" ca="1" si="5"/>
        <v xml:space="preserve">UCF </v>
      </c>
      <c r="P13" s="13">
        <f t="shared" ca="1" si="26"/>
        <v>11</v>
      </c>
      <c r="Q13" s="12" t="str">
        <f t="shared" ca="1" si="6"/>
        <v xml:space="preserve">UCF </v>
      </c>
      <c r="R13" s="13">
        <f t="shared" ca="1" si="27"/>
        <v>32</v>
      </c>
      <c r="S13" s="12" t="str">
        <f t="shared" ca="1" si="7"/>
        <v xml:space="preserve">UCF </v>
      </c>
      <c r="T13" s="13">
        <f t="shared" ca="1" si="28"/>
        <v>40</v>
      </c>
      <c r="U13" s="12" t="str">
        <f t="shared" ca="1" si="8"/>
        <v xml:space="preserve">UCF </v>
      </c>
      <c r="V13" s="13">
        <f t="shared" ca="1" si="29"/>
        <v>39</v>
      </c>
      <c r="W13" s="12" t="str">
        <f t="shared" ca="1" si="9"/>
        <v xml:space="preserve">UCF </v>
      </c>
      <c r="X13" s="13">
        <f t="shared" ca="1" si="10"/>
        <v>35</v>
      </c>
      <c r="Y13" s="12" t="str">
        <f t="shared" ca="1" si="11"/>
        <v xml:space="preserve">UCF </v>
      </c>
      <c r="Z13" s="13">
        <f t="shared" ca="1" si="12"/>
        <v>21</v>
      </c>
      <c r="AA13" s="12" t="str">
        <f t="shared" ca="1" si="13"/>
        <v xml:space="preserve">UCF </v>
      </c>
      <c r="AB13" s="13">
        <f t="shared" ca="1" si="14"/>
        <v>2</v>
      </c>
      <c r="AC13" s="12" t="str">
        <f t="shared" ca="1" si="15"/>
        <v>Marshall</v>
      </c>
      <c r="AD13" s="13">
        <f t="shared" ca="1" si="16"/>
        <v>4</v>
      </c>
      <c r="AE13" s="12" t="str">
        <f t="shared" ca="1" si="17"/>
        <v xml:space="preserve">UCF </v>
      </c>
      <c r="AF13" s="13">
        <f t="shared" ca="1" si="18"/>
        <v>30</v>
      </c>
      <c r="AG13" s="12" t="str">
        <f t="shared" ca="1" si="19"/>
        <v xml:space="preserve">UCF </v>
      </c>
      <c r="AH13" s="13">
        <f t="shared" ca="1" si="20"/>
        <v>12</v>
      </c>
    </row>
    <row r="14" spans="1:34" ht="15" hidden="1" thickTop="1" x14ac:dyDescent="0.35">
      <c r="A14" s="4">
        <v>43823</v>
      </c>
      <c r="B14" s="5" t="s">
        <v>38</v>
      </c>
      <c r="C14" s="12" t="s">
        <v>39</v>
      </c>
      <c r="D14" s="13" t="s">
        <v>40</v>
      </c>
      <c r="E14" s="12" t="str">
        <f t="shared" ca="1" si="0"/>
        <v xml:space="preserve">Hawaii </v>
      </c>
      <c r="F14" s="13">
        <f t="shared" ca="1" si="1"/>
        <v>7</v>
      </c>
      <c r="G14" s="12" t="str">
        <f t="shared" ca="1" si="2"/>
        <v>BYU</v>
      </c>
      <c r="H14" s="13">
        <f t="shared" ca="1" si="21"/>
        <v>15</v>
      </c>
      <c r="I14" s="12" t="str">
        <f t="shared" ca="1" si="22"/>
        <v xml:space="preserve">Hawaii </v>
      </c>
      <c r="J14" s="13">
        <f t="shared" ca="1" si="23"/>
        <v>25</v>
      </c>
      <c r="K14" s="12" t="str">
        <f t="shared" ca="1" si="3"/>
        <v xml:space="preserve">Hawaii </v>
      </c>
      <c r="L14" s="13">
        <f t="shared" ca="1" si="24"/>
        <v>29</v>
      </c>
      <c r="M14" s="12" t="str">
        <f t="shared" ca="1" si="4"/>
        <v xml:space="preserve">Hawaii </v>
      </c>
      <c r="N14" s="13">
        <f t="shared" ca="1" si="25"/>
        <v>21</v>
      </c>
      <c r="O14" s="12" t="str">
        <f t="shared" ca="1" si="5"/>
        <v>BYU</v>
      </c>
      <c r="P14" s="13">
        <f t="shared" ca="1" si="26"/>
        <v>6</v>
      </c>
      <c r="Q14" s="12" t="str">
        <f t="shared" ca="1" si="6"/>
        <v xml:space="preserve">Hawaii </v>
      </c>
      <c r="R14" s="13">
        <f t="shared" ca="1" si="27"/>
        <v>6</v>
      </c>
      <c r="S14" s="12" t="str">
        <f t="shared" ca="1" si="7"/>
        <v xml:space="preserve">Hawaii </v>
      </c>
      <c r="T14" s="13">
        <f t="shared" ca="1" si="28"/>
        <v>1</v>
      </c>
      <c r="U14" s="12" t="str">
        <f t="shared" ca="1" si="8"/>
        <v xml:space="preserve">Hawaii </v>
      </c>
      <c r="V14" s="13">
        <f t="shared" ca="1" si="29"/>
        <v>7</v>
      </c>
      <c r="W14" s="12" t="str">
        <f t="shared" ca="1" si="9"/>
        <v xml:space="preserve">Hawaii </v>
      </c>
      <c r="X14" s="13">
        <f t="shared" ca="1" si="10"/>
        <v>4</v>
      </c>
      <c r="Y14" s="12" t="str">
        <f t="shared" ca="1" si="11"/>
        <v xml:space="preserve">Hawaii </v>
      </c>
      <c r="Z14" s="13">
        <f t="shared" ca="1" si="12"/>
        <v>23</v>
      </c>
      <c r="AA14" s="12" t="str">
        <f t="shared" ca="1" si="13"/>
        <v>BYU</v>
      </c>
      <c r="AB14" s="13">
        <f t="shared" ca="1" si="14"/>
        <v>35</v>
      </c>
      <c r="AC14" s="12" t="str">
        <f t="shared" ca="1" si="15"/>
        <v>BYU</v>
      </c>
      <c r="AD14" s="13">
        <f t="shared" ca="1" si="16"/>
        <v>16</v>
      </c>
      <c r="AE14" s="12" t="str">
        <f t="shared" ca="1" si="17"/>
        <v>BYU</v>
      </c>
      <c r="AF14" s="13">
        <f t="shared" ca="1" si="18"/>
        <v>19</v>
      </c>
      <c r="AG14" s="12" t="str">
        <f t="shared" ca="1" si="19"/>
        <v>BYU</v>
      </c>
      <c r="AH14" s="13">
        <f t="shared" ca="1" si="20"/>
        <v>4</v>
      </c>
    </row>
    <row r="15" spans="1:34" ht="15" hidden="1" thickTop="1" x14ac:dyDescent="0.35">
      <c r="A15" s="4">
        <v>43825</v>
      </c>
      <c r="B15" s="5" t="s">
        <v>41</v>
      </c>
      <c r="C15" s="12" t="s">
        <v>42</v>
      </c>
      <c r="D15" s="13" t="s">
        <v>43</v>
      </c>
      <c r="E15" s="12" t="str">
        <f t="shared" ca="1" si="0"/>
        <v>Louisiana Tech</v>
      </c>
      <c r="F15" s="13">
        <f t="shared" ca="1" si="1"/>
        <v>2</v>
      </c>
      <c r="G15" s="12" t="str">
        <f t="shared" ca="1" si="2"/>
        <v>Louisiana Tech</v>
      </c>
      <c r="H15" s="13">
        <f t="shared" ca="1" si="21"/>
        <v>6</v>
      </c>
      <c r="I15" s="12" t="str">
        <f t="shared" ca="1" si="22"/>
        <v xml:space="preserve">Miami (FL) </v>
      </c>
      <c r="J15" s="13">
        <f t="shared" ca="1" si="23"/>
        <v>32</v>
      </c>
      <c r="K15" s="12" t="str">
        <f t="shared" ca="1" si="3"/>
        <v xml:space="preserve">Miami (FL) </v>
      </c>
      <c r="L15" s="13">
        <f t="shared" ca="1" si="24"/>
        <v>36</v>
      </c>
      <c r="M15" s="12" t="str">
        <f t="shared" ca="1" si="4"/>
        <v xml:space="preserve">Miami (FL) </v>
      </c>
      <c r="N15" s="13">
        <f t="shared" ca="1" si="25"/>
        <v>2</v>
      </c>
      <c r="O15" s="12" t="str">
        <f t="shared" ca="1" si="5"/>
        <v xml:space="preserve">Miami (FL) </v>
      </c>
      <c r="P15" s="13">
        <f t="shared" ca="1" si="26"/>
        <v>2</v>
      </c>
      <c r="Q15" s="12" t="str">
        <f t="shared" ca="1" si="6"/>
        <v xml:space="preserve">Miami (FL) </v>
      </c>
      <c r="R15" s="13">
        <f t="shared" ca="1" si="27"/>
        <v>9</v>
      </c>
      <c r="S15" s="12" t="str">
        <f t="shared" ca="1" si="7"/>
        <v>Louisiana Tech</v>
      </c>
      <c r="T15" s="13">
        <f t="shared" ca="1" si="28"/>
        <v>13</v>
      </c>
      <c r="U15" s="12" t="str">
        <f t="shared" ca="1" si="8"/>
        <v>Louisiana Tech</v>
      </c>
      <c r="V15" s="13">
        <f t="shared" ca="1" si="29"/>
        <v>9</v>
      </c>
      <c r="W15" s="12" t="str">
        <f t="shared" ca="1" si="9"/>
        <v>Louisiana Tech</v>
      </c>
      <c r="X15" s="13">
        <f t="shared" ca="1" si="10"/>
        <v>1</v>
      </c>
      <c r="Y15" s="12" t="str">
        <f t="shared" ca="1" si="11"/>
        <v>Louisiana Tech</v>
      </c>
      <c r="Z15" s="13">
        <f t="shared" ca="1" si="12"/>
        <v>12</v>
      </c>
      <c r="AA15" s="12" t="str">
        <f t="shared" ca="1" si="13"/>
        <v xml:space="preserve">Miami (FL) </v>
      </c>
      <c r="AB15" s="13">
        <f t="shared" ca="1" si="14"/>
        <v>36</v>
      </c>
      <c r="AC15" s="12" t="str">
        <f t="shared" ca="1" si="15"/>
        <v xml:space="preserve">Miami (FL) </v>
      </c>
      <c r="AD15" s="13">
        <f t="shared" ca="1" si="16"/>
        <v>11</v>
      </c>
      <c r="AE15" s="12" t="str">
        <f t="shared" ca="1" si="17"/>
        <v xml:space="preserve">Miami (FL) </v>
      </c>
      <c r="AF15" s="13">
        <f t="shared" ca="1" si="18"/>
        <v>8</v>
      </c>
      <c r="AG15" s="12" t="str">
        <f t="shared" ca="1" si="19"/>
        <v>Louisiana Tech</v>
      </c>
      <c r="AH15" s="13">
        <f t="shared" ca="1" si="20"/>
        <v>16</v>
      </c>
    </row>
    <row r="16" spans="1:34" ht="15" hidden="1" thickTop="1" x14ac:dyDescent="0.35">
      <c r="A16" s="4">
        <v>43825</v>
      </c>
      <c r="B16" s="5" t="s">
        <v>44</v>
      </c>
      <c r="C16" s="12" t="s">
        <v>45</v>
      </c>
      <c r="D16" s="13" t="s">
        <v>46</v>
      </c>
      <c r="E16" s="12" t="str">
        <f t="shared" ca="1" si="0"/>
        <v xml:space="preserve">Pitt </v>
      </c>
      <c r="F16" s="13">
        <f t="shared" ca="1" si="1"/>
        <v>24</v>
      </c>
      <c r="G16" s="12" t="str">
        <f t="shared" ca="1" si="2"/>
        <v xml:space="preserve">Pitt </v>
      </c>
      <c r="H16" s="13">
        <f t="shared" ca="1" si="21"/>
        <v>35</v>
      </c>
      <c r="I16" s="12" t="str">
        <f t="shared" ca="1" si="22"/>
        <v xml:space="preserve">Pitt </v>
      </c>
      <c r="J16" s="13">
        <f t="shared" ca="1" si="23"/>
        <v>35</v>
      </c>
      <c r="K16" s="12" t="str">
        <f t="shared" ca="1" si="3"/>
        <v xml:space="preserve">Pitt </v>
      </c>
      <c r="L16" s="13">
        <f t="shared" ca="1" si="24"/>
        <v>33</v>
      </c>
      <c r="M16" s="12" t="str">
        <f t="shared" ca="1" si="4"/>
        <v xml:space="preserve">Pitt </v>
      </c>
      <c r="N16" s="13">
        <f t="shared" ca="1" si="25"/>
        <v>31</v>
      </c>
      <c r="O16" s="12" t="str">
        <f t="shared" ca="1" si="5"/>
        <v xml:space="preserve">Pitt </v>
      </c>
      <c r="P16" s="13">
        <f t="shared" ca="1" si="26"/>
        <v>33</v>
      </c>
      <c r="Q16" s="12" t="str">
        <f t="shared" ca="1" si="6"/>
        <v xml:space="preserve">Pitt </v>
      </c>
      <c r="R16" s="13">
        <f t="shared" ca="1" si="27"/>
        <v>15</v>
      </c>
      <c r="S16" s="12" t="str">
        <f t="shared" ca="1" si="7"/>
        <v xml:space="preserve">Pitt </v>
      </c>
      <c r="T16" s="13">
        <f t="shared" ca="1" si="28"/>
        <v>36</v>
      </c>
      <c r="U16" s="12" t="str">
        <f t="shared" ca="1" si="8"/>
        <v xml:space="preserve">Pitt </v>
      </c>
      <c r="V16" s="13">
        <f t="shared" ca="1" si="29"/>
        <v>35</v>
      </c>
      <c r="W16" s="12" t="str">
        <f t="shared" ca="1" si="9"/>
        <v xml:space="preserve">Pitt </v>
      </c>
      <c r="X16" s="13">
        <f t="shared" ca="1" si="10"/>
        <v>25</v>
      </c>
      <c r="Y16" s="12" t="str">
        <f t="shared" ca="1" si="11"/>
        <v>Eastern Michigan</v>
      </c>
      <c r="Z16" s="13">
        <f t="shared" ca="1" si="12"/>
        <v>30</v>
      </c>
      <c r="AA16" s="12" t="str">
        <f t="shared" ca="1" si="13"/>
        <v xml:space="preserve">Pitt </v>
      </c>
      <c r="AB16" s="13">
        <f t="shared" ca="1" si="14"/>
        <v>3</v>
      </c>
      <c r="AC16" s="12" t="str">
        <f t="shared" ca="1" si="15"/>
        <v>Eastern Michigan</v>
      </c>
      <c r="AD16" s="13">
        <f t="shared" ca="1" si="16"/>
        <v>20</v>
      </c>
      <c r="AE16" s="12" t="str">
        <f t="shared" ca="1" si="17"/>
        <v xml:space="preserve">Pitt </v>
      </c>
      <c r="AF16" s="13">
        <f t="shared" ca="1" si="18"/>
        <v>34</v>
      </c>
      <c r="AG16" s="12" t="str">
        <f t="shared" ca="1" si="19"/>
        <v xml:space="preserve">Pitt </v>
      </c>
      <c r="AH16" s="13">
        <f t="shared" ca="1" si="20"/>
        <v>32</v>
      </c>
    </row>
    <row r="17" spans="1:34" ht="15" hidden="1" thickTop="1" x14ac:dyDescent="0.35">
      <c r="A17" s="4">
        <v>43826</v>
      </c>
      <c r="B17" s="5" t="s">
        <v>47</v>
      </c>
      <c r="C17" s="12" t="s">
        <v>48</v>
      </c>
      <c r="D17" s="13" t="s">
        <v>49</v>
      </c>
      <c r="E17" s="12" t="str">
        <f t="shared" ca="1" si="0"/>
        <v xml:space="preserve">North Carolina </v>
      </c>
      <c r="F17" s="13">
        <f t="shared" ca="1" si="1"/>
        <v>27</v>
      </c>
      <c r="G17" s="12" t="str">
        <f t="shared" ca="1" si="2"/>
        <v xml:space="preserve">North Carolina </v>
      </c>
      <c r="H17" s="13">
        <f t="shared" ca="1" si="21"/>
        <v>18</v>
      </c>
      <c r="I17" s="12" t="str">
        <f t="shared" ca="1" si="22"/>
        <v>Temple</v>
      </c>
      <c r="J17" s="13">
        <f t="shared" ca="1" si="23"/>
        <v>10</v>
      </c>
      <c r="K17" s="12" t="str">
        <f t="shared" ca="1" si="3"/>
        <v xml:space="preserve">North Carolina </v>
      </c>
      <c r="L17" s="13">
        <f t="shared" ca="1" si="24"/>
        <v>27</v>
      </c>
      <c r="M17" s="12" t="str">
        <f t="shared" ca="1" si="4"/>
        <v xml:space="preserve">North Carolina </v>
      </c>
      <c r="N17" s="13">
        <f t="shared" ca="1" si="25"/>
        <v>7</v>
      </c>
      <c r="O17" s="12" t="str">
        <f t="shared" ca="1" si="5"/>
        <v xml:space="preserve">North Carolina </v>
      </c>
      <c r="P17" s="13">
        <f t="shared" ca="1" si="26"/>
        <v>1</v>
      </c>
      <c r="Q17" s="12" t="str">
        <f t="shared" ca="1" si="6"/>
        <v xml:space="preserve">North Carolina </v>
      </c>
      <c r="R17" s="13">
        <f t="shared" ca="1" si="27"/>
        <v>4</v>
      </c>
      <c r="S17" s="12" t="str">
        <f t="shared" ca="1" si="7"/>
        <v xml:space="preserve">North Carolina </v>
      </c>
      <c r="T17" s="13">
        <f t="shared" ca="1" si="28"/>
        <v>21</v>
      </c>
      <c r="U17" s="12" t="str">
        <f t="shared" ca="1" si="8"/>
        <v>Temple</v>
      </c>
      <c r="V17" s="13">
        <f t="shared" ca="1" si="29"/>
        <v>4</v>
      </c>
      <c r="W17" s="12" t="str">
        <f t="shared" ca="1" si="9"/>
        <v xml:space="preserve">North Carolina </v>
      </c>
      <c r="X17" s="13">
        <f t="shared" ca="1" si="10"/>
        <v>8</v>
      </c>
      <c r="Y17" s="12" t="str">
        <f t="shared" ca="1" si="11"/>
        <v xml:space="preserve">North Carolina </v>
      </c>
      <c r="Z17" s="13">
        <f t="shared" ca="1" si="12"/>
        <v>6</v>
      </c>
      <c r="AA17" s="12" t="str">
        <f t="shared" ca="1" si="13"/>
        <v>Temple</v>
      </c>
      <c r="AB17" s="13">
        <f t="shared" ca="1" si="14"/>
        <v>4</v>
      </c>
      <c r="AC17" s="12" t="str">
        <f t="shared" ca="1" si="15"/>
        <v>Temple</v>
      </c>
      <c r="AD17" s="13">
        <f t="shared" ca="1" si="16"/>
        <v>8</v>
      </c>
      <c r="AE17" s="12" t="str">
        <f t="shared" ca="1" si="17"/>
        <v xml:space="preserve">North Carolina </v>
      </c>
      <c r="AF17" s="13">
        <f t="shared" ca="1" si="18"/>
        <v>9</v>
      </c>
      <c r="AG17" s="12" t="str">
        <f t="shared" ca="1" si="19"/>
        <v>Temple</v>
      </c>
      <c r="AH17" s="13">
        <f t="shared" ca="1" si="20"/>
        <v>24</v>
      </c>
    </row>
    <row r="18" spans="1:34" ht="15" hidden="1" thickTop="1" x14ac:dyDescent="0.35">
      <c r="A18" s="4">
        <v>43826</v>
      </c>
      <c r="B18" s="5" t="s">
        <v>50</v>
      </c>
      <c r="C18" s="12" t="s">
        <v>51</v>
      </c>
      <c r="D18" s="13" t="s">
        <v>52</v>
      </c>
      <c r="E18" s="12" t="str">
        <f t="shared" ca="1" si="0"/>
        <v>Michigan State</v>
      </c>
      <c r="F18" s="13">
        <f t="shared" ca="1" si="1"/>
        <v>15</v>
      </c>
      <c r="G18" s="12" t="str">
        <f t="shared" ca="1" si="2"/>
        <v xml:space="preserve">Wake Forest </v>
      </c>
      <c r="H18" s="13">
        <f t="shared" ca="1" si="21"/>
        <v>12</v>
      </c>
      <c r="I18" s="12" t="str">
        <f t="shared" ca="1" si="22"/>
        <v xml:space="preserve">Wake Forest </v>
      </c>
      <c r="J18" s="13">
        <f t="shared" ca="1" si="23"/>
        <v>29</v>
      </c>
      <c r="K18" s="12" t="str">
        <f t="shared" ca="1" si="3"/>
        <v>Michigan State</v>
      </c>
      <c r="L18" s="13">
        <f t="shared" ca="1" si="24"/>
        <v>22</v>
      </c>
      <c r="M18" s="12" t="str">
        <f t="shared" ca="1" si="4"/>
        <v xml:space="preserve">Wake Forest </v>
      </c>
      <c r="N18" s="13">
        <f t="shared" ca="1" si="25"/>
        <v>11</v>
      </c>
      <c r="O18" s="12" t="str">
        <f t="shared" ca="1" si="5"/>
        <v>Michigan State</v>
      </c>
      <c r="P18" s="13">
        <f t="shared" ca="1" si="26"/>
        <v>12</v>
      </c>
      <c r="Q18" s="12" t="str">
        <f t="shared" ca="1" si="6"/>
        <v>Michigan State</v>
      </c>
      <c r="R18" s="13">
        <f t="shared" ca="1" si="27"/>
        <v>1</v>
      </c>
      <c r="S18" s="12" t="str">
        <f t="shared" ca="1" si="7"/>
        <v>Michigan State</v>
      </c>
      <c r="T18" s="13">
        <f t="shared" ca="1" si="28"/>
        <v>12</v>
      </c>
      <c r="U18" s="12" t="str">
        <f t="shared" ca="1" si="8"/>
        <v xml:space="preserve">Wake Forest </v>
      </c>
      <c r="V18" s="13">
        <f t="shared" ca="1" si="29"/>
        <v>21</v>
      </c>
      <c r="W18" s="12" t="str">
        <f t="shared" ca="1" si="9"/>
        <v>Michigan State</v>
      </c>
      <c r="X18" s="13">
        <f t="shared" ca="1" si="10"/>
        <v>11</v>
      </c>
      <c r="Y18" s="12" t="str">
        <f t="shared" ca="1" si="11"/>
        <v>Michigan State</v>
      </c>
      <c r="Z18" s="13">
        <f t="shared" ca="1" si="12"/>
        <v>34</v>
      </c>
      <c r="AA18" s="12" t="str">
        <f t="shared" ca="1" si="13"/>
        <v>Michigan State</v>
      </c>
      <c r="AB18" s="13">
        <f t="shared" ca="1" si="14"/>
        <v>37</v>
      </c>
      <c r="AC18" s="12" t="str">
        <f t="shared" ca="1" si="15"/>
        <v xml:space="preserve">Wake Forest </v>
      </c>
      <c r="AD18" s="13">
        <f t="shared" ca="1" si="16"/>
        <v>9</v>
      </c>
      <c r="AE18" s="12" t="str">
        <f t="shared" ca="1" si="17"/>
        <v>Michigan State</v>
      </c>
      <c r="AF18" s="13">
        <f t="shared" ca="1" si="18"/>
        <v>1</v>
      </c>
      <c r="AG18" s="12" t="str">
        <f t="shared" ca="1" si="19"/>
        <v xml:space="preserve">Wake Forest </v>
      </c>
      <c r="AH18" s="13">
        <f t="shared" ca="1" si="20"/>
        <v>9</v>
      </c>
    </row>
    <row r="19" spans="1:34" ht="15" hidden="1" thickTop="1" x14ac:dyDescent="0.35">
      <c r="A19" s="4">
        <v>43826</v>
      </c>
      <c r="B19" s="5" t="s">
        <v>53</v>
      </c>
      <c r="C19" s="12" t="s">
        <v>54</v>
      </c>
      <c r="D19" s="13" t="s">
        <v>55</v>
      </c>
      <c r="E19" s="12" t="str">
        <f t="shared" ca="1" si="0"/>
        <v>Texas A&amp;M</v>
      </c>
      <c r="F19" s="13">
        <f t="shared" ca="1" si="1"/>
        <v>32</v>
      </c>
      <c r="G19" s="12" t="str">
        <f t="shared" ca="1" si="2"/>
        <v>Texas A&amp;M</v>
      </c>
      <c r="H19" s="13">
        <f t="shared" ca="1" si="21"/>
        <v>28</v>
      </c>
      <c r="I19" s="12" t="str">
        <f t="shared" ca="1" si="22"/>
        <v>Texas A&amp;M</v>
      </c>
      <c r="J19" s="13">
        <f t="shared" ca="1" si="23"/>
        <v>31</v>
      </c>
      <c r="K19" s="12" t="str">
        <f t="shared" ca="1" si="3"/>
        <v>Texas A&amp;M</v>
      </c>
      <c r="L19" s="13">
        <f t="shared" ca="1" si="24"/>
        <v>19</v>
      </c>
      <c r="M19" s="12" t="str">
        <f t="shared" ca="1" si="4"/>
        <v xml:space="preserve">Oklahoma State </v>
      </c>
      <c r="N19" s="13">
        <f t="shared" ca="1" si="25"/>
        <v>8</v>
      </c>
      <c r="O19" s="12" t="str">
        <f t="shared" ca="1" si="5"/>
        <v>Texas A&amp;M</v>
      </c>
      <c r="P19" s="13">
        <f t="shared" ca="1" si="26"/>
        <v>25</v>
      </c>
      <c r="Q19" s="12" t="str">
        <f t="shared" ca="1" si="6"/>
        <v xml:space="preserve">Oklahoma State </v>
      </c>
      <c r="R19" s="13">
        <f t="shared" ca="1" si="27"/>
        <v>5</v>
      </c>
      <c r="S19" s="12" t="str">
        <f t="shared" ca="1" si="7"/>
        <v>Texas A&amp;M</v>
      </c>
      <c r="T19" s="13">
        <f t="shared" ca="1" si="28"/>
        <v>14</v>
      </c>
      <c r="U19" s="12" t="str">
        <f t="shared" ca="1" si="8"/>
        <v xml:space="preserve">Oklahoma State </v>
      </c>
      <c r="V19" s="13">
        <f t="shared" ca="1" si="29"/>
        <v>13</v>
      </c>
      <c r="W19" s="12" t="str">
        <f t="shared" ca="1" si="9"/>
        <v xml:space="preserve">Oklahoma State </v>
      </c>
      <c r="X19" s="13">
        <f t="shared" ca="1" si="10"/>
        <v>12</v>
      </c>
      <c r="Y19" s="12" t="str">
        <f t="shared" ca="1" si="11"/>
        <v xml:space="preserve">Oklahoma State </v>
      </c>
      <c r="Z19" s="13">
        <f t="shared" ca="1" si="12"/>
        <v>35</v>
      </c>
      <c r="AA19" s="12" t="str">
        <f t="shared" ca="1" si="13"/>
        <v xml:space="preserve">Oklahoma State </v>
      </c>
      <c r="AB19" s="13">
        <f t="shared" ca="1" si="14"/>
        <v>38</v>
      </c>
      <c r="AC19" s="12" t="str">
        <f t="shared" ca="1" si="15"/>
        <v>Texas A&amp;M</v>
      </c>
      <c r="AD19" s="13">
        <f t="shared" ca="1" si="16"/>
        <v>13</v>
      </c>
      <c r="AE19" s="12" t="str">
        <f t="shared" ca="1" si="17"/>
        <v>Texas A&amp;M</v>
      </c>
      <c r="AF19" s="13">
        <f t="shared" ca="1" si="18"/>
        <v>25</v>
      </c>
      <c r="AG19" s="12" t="str">
        <f t="shared" ca="1" si="19"/>
        <v xml:space="preserve">Oklahoma State </v>
      </c>
      <c r="AH19" s="13">
        <f t="shared" ca="1" si="20"/>
        <v>14</v>
      </c>
    </row>
    <row r="20" spans="1:34" ht="15" hidden="1" thickTop="1" x14ac:dyDescent="0.35">
      <c r="A20" s="4">
        <v>43826</v>
      </c>
      <c r="B20" s="5" t="s">
        <v>56</v>
      </c>
      <c r="C20" s="12" t="s">
        <v>57</v>
      </c>
      <c r="D20" s="13" t="s">
        <v>58</v>
      </c>
      <c r="E20" s="12" t="str">
        <f t="shared" ca="1" si="0"/>
        <v>Iowa</v>
      </c>
      <c r="F20" s="13">
        <f t="shared" ca="1" si="1"/>
        <v>22</v>
      </c>
      <c r="G20" s="12" t="str">
        <f t="shared" ca="1" si="2"/>
        <v>Iowa</v>
      </c>
      <c r="H20" s="13">
        <f t="shared" ca="1" si="21"/>
        <v>16</v>
      </c>
      <c r="I20" s="12" t="str">
        <f t="shared" ca="1" si="22"/>
        <v>Iowa</v>
      </c>
      <c r="J20" s="13">
        <f t="shared" ca="1" si="23"/>
        <v>15</v>
      </c>
      <c r="K20" s="12" t="str">
        <f t="shared" ca="1" si="3"/>
        <v xml:space="preserve">USC </v>
      </c>
      <c r="L20" s="13">
        <f t="shared" ca="1" si="24"/>
        <v>23</v>
      </c>
      <c r="M20" s="12" t="str">
        <f t="shared" ca="1" si="4"/>
        <v>Iowa</v>
      </c>
      <c r="N20" s="13">
        <f t="shared" ca="1" si="25"/>
        <v>3</v>
      </c>
      <c r="O20" s="12" t="str">
        <f t="shared" ca="1" si="5"/>
        <v xml:space="preserve">USC </v>
      </c>
      <c r="P20" s="13">
        <f t="shared" ca="1" si="26"/>
        <v>13</v>
      </c>
      <c r="Q20" s="12" t="str">
        <f t="shared" ca="1" si="6"/>
        <v>Iowa</v>
      </c>
      <c r="R20" s="13">
        <f t="shared" ca="1" si="27"/>
        <v>13</v>
      </c>
      <c r="S20" s="12" t="str">
        <f t="shared" ca="1" si="7"/>
        <v>Iowa</v>
      </c>
      <c r="T20" s="13">
        <f t="shared" ca="1" si="28"/>
        <v>6</v>
      </c>
      <c r="U20" s="12" t="str">
        <f t="shared" ca="1" si="8"/>
        <v>Iowa</v>
      </c>
      <c r="V20" s="13">
        <f t="shared" ca="1" si="29"/>
        <v>6</v>
      </c>
      <c r="W20" s="12" t="str">
        <f t="shared" ca="1" si="9"/>
        <v>Iowa</v>
      </c>
      <c r="X20" s="13">
        <f t="shared" ca="1" si="10"/>
        <v>31</v>
      </c>
      <c r="Y20" s="12" t="str">
        <f t="shared" ca="1" si="11"/>
        <v>Iowa</v>
      </c>
      <c r="Z20" s="13">
        <f t="shared" ca="1" si="12"/>
        <v>36</v>
      </c>
      <c r="AA20" s="12" t="str">
        <f t="shared" ca="1" si="13"/>
        <v xml:space="preserve">USC </v>
      </c>
      <c r="AB20" s="13">
        <f t="shared" ca="1" si="14"/>
        <v>40</v>
      </c>
      <c r="AC20" s="12" t="str">
        <f t="shared" ca="1" si="15"/>
        <v>Iowa</v>
      </c>
      <c r="AD20" s="13">
        <f t="shared" ca="1" si="16"/>
        <v>25</v>
      </c>
      <c r="AE20" s="12" t="str">
        <f t="shared" ca="1" si="17"/>
        <v>Iowa</v>
      </c>
      <c r="AF20" s="13">
        <f t="shared" ca="1" si="18"/>
        <v>10</v>
      </c>
      <c r="AG20" s="12" t="str">
        <f t="shared" ca="1" si="19"/>
        <v>Iowa</v>
      </c>
      <c r="AH20" s="13">
        <f t="shared" ca="1" si="20"/>
        <v>34</v>
      </c>
    </row>
    <row r="21" spans="1:34" ht="15" hidden="1" thickTop="1" x14ac:dyDescent="0.35">
      <c r="A21" s="4">
        <v>43826</v>
      </c>
      <c r="B21" s="5" t="s">
        <v>59</v>
      </c>
      <c r="C21" s="12" t="s">
        <v>60</v>
      </c>
      <c r="D21" s="13" t="s">
        <v>61</v>
      </c>
      <c r="E21" s="12" t="str">
        <f t="shared" ca="1" si="0"/>
        <v xml:space="preserve">Air Force </v>
      </c>
      <c r="F21" s="13">
        <f t="shared" ca="1" si="1"/>
        <v>19</v>
      </c>
      <c r="G21" s="12" t="str">
        <f t="shared" ca="1" si="2"/>
        <v xml:space="preserve">Air Force </v>
      </c>
      <c r="H21" s="13">
        <f t="shared" ca="1" si="21"/>
        <v>11</v>
      </c>
      <c r="I21" s="12" t="str">
        <f t="shared" ca="1" si="22"/>
        <v>Washington State</v>
      </c>
      <c r="J21" s="13">
        <f t="shared" ca="1" si="23"/>
        <v>17</v>
      </c>
      <c r="K21" s="12" t="str">
        <f t="shared" ca="1" si="3"/>
        <v xml:space="preserve">Air Force </v>
      </c>
      <c r="L21" s="13">
        <f t="shared" ca="1" si="24"/>
        <v>14</v>
      </c>
      <c r="M21" s="12" t="str">
        <f t="shared" ca="1" si="4"/>
        <v xml:space="preserve">Air Force </v>
      </c>
      <c r="N21" s="13">
        <f t="shared" ca="1" si="25"/>
        <v>5</v>
      </c>
      <c r="O21" s="12" t="str">
        <f t="shared" ca="1" si="5"/>
        <v xml:space="preserve">Air Force </v>
      </c>
      <c r="P21" s="13">
        <f t="shared" ca="1" si="26"/>
        <v>3</v>
      </c>
      <c r="Q21" s="12" t="str">
        <f t="shared" ca="1" si="6"/>
        <v>Washington State</v>
      </c>
      <c r="R21" s="13">
        <f t="shared" ca="1" si="27"/>
        <v>2</v>
      </c>
      <c r="S21" s="12" t="str">
        <f t="shared" ca="1" si="7"/>
        <v xml:space="preserve">Air Force </v>
      </c>
      <c r="T21" s="13">
        <f t="shared" ca="1" si="28"/>
        <v>10</v>
      </c>
      <c r="U21" s="12" t="str">
        <f t="shared" ca="1" si="8"/>
        <v xml:space="preserve">Air Force </v>
      </c>
      <c r="V21" s="13">
        <f t="shared" ca="1" si="29"/>
        <v>14</v>
      </c>
      <c r="W21" s="12" t="str">
        <f t="shared" ca="1" si="9"/>
        <v>Washington State</v>
      </c>
      <c r="X21" s="13">
        <f t="shared" ca="1" si="10"/>
        <v>13</v>
      </c>
      <c r="Y21" s="12" t="str">
        <f t="shared" ca="1" si="11"/>
        <v xml:space="preserve">Air Force </v>
      </c>
      <c r="Z21" s="13">
        <f t="shared" ca="1" si="12"/>
        <v>20</v>
      </c>
      <c r="AA21" s="12" t="str">
        <f t="shared" ca="1" si="13"/>
        <v>Washington State</v>
      </c>
      <c r="AB21" s="13">
        <f t="shared" ca="1" si="14"/>
        <v>39</v>
      </c>
      <c r="AC21" s="12" t="str">
        <f t="shared" ca="1" si="15"/>
        <v xml:space="preserve">Air Force </v>
      </c>
      <c r="AD21" s="13">
        <f t="shared" ca="1" si="16"/>
        <v>34</v>
      </c>
      <c r="AE21" s="12" t="str">
        <f t="shared" ca="1" si="17"/>
        <v>Washington State</v>
      </c>
      <c r="AF21" s="13">
        <f t="shared" ca="1" si="18"/>
        <v>24</v>
      </c>
      <c r="AG21" s="12" t="str">
        <f t="shared" ca="1" si="19"/>
        <v xml:space="preserve">Air Force </v>
      </c>
      <c r="AH21" s="13">
        <f t="shared" ca="1" si="20"/>
        <v>5</v>
      </c>
    </row>
    <row r="22" spans="1:34" ht="15" hidden="1" thickTop="1" x14ac:dyDescent="0.35">
      <c r="A22" s="4">
        <v>43827</v>
      </c>
      <c r="B22" s="5" t="s">
        <v>62</v>
      </c>
      <c r="C22" s="12" t="s">
        <v>63</v>
      </c>
      <c r="D22" s="13" t="s">
        <v>64</v>
      </c>
      <c r="E22" s="12" t="str">
        <f t="shared" ca="1" si="0"/>
        <v xml:space="preserve">Notre Dame </v>
      </c>
      <c r="F22" s="13">
        <f t="shared" ca="1" si="1"/>
        <v>34</v>
      </c>
      <c r="G22" s="12" t="str">
        <f t="shared" ca="1" si="2"/>
        <v xml:space="preserve">Notre Dame </v>
      </c>
      <c r="H22" s="13">
        <f t="shared" ca="1" si="21"/>
        <v>17</v>
      </c>
      <c r="I22" s="12" t="str">
        <f t="shared" ca="1" si="22"/>
        <v xml:space="preserve">Notre Dame </v>
      </c>
      <c r="J22" s="13">
        <f t="shared" ca="1" si="23"/>
        <v>38</v>
      </c>
      <c r="K22" s="12" t="str">
        <f t="shared" ca="1" si="3"/>
        <v xml:space="preserve">Notre Dame </v>
      </c>
      <c r="L22" s="13">
        <f t="shared" ca="1" si="24"/>
        <v>15</v>
      </c>
      <c r="M22" s="12" t="str">
        <f t="shared" ca="1" si="4"/>
        <v xml:space="preserve">Notre Dame </v>
      </c>
      <c r="N22" s="13">
        <f t="shared" ca="1" si="25"/>
        <v>38</v>
      </c>
      <c r="O22" s="12" t="str">
        <f t="shared" ca="1" si="5"/>
        <v xml:space="preserve">Notre Dame </v>
      </c>
      <c r="P22" s="13">
        <f t="shared" ca="1" si="26"/>
        <v>21</v>
      </c>
      <c r="Q22" s="12" t="str">
        <f t="shared" ca="1" si="6"/>
        <v xml:space="preserve">Notre Dame </v>
      </c>
      <c r="R22" s="13">
        <f t="shared" ca="1" si="27"/>
        <v>34</v>
      </c>
      <c r="S22" s="12" t="str">
        <f t="shared" ca="1" si="7"/>
        <v xml:space="preserve">Notre Dame </v>
      </c>
      <c r="T22" s="13">
        <f t="shared" ca="1" si="28"/>
        <v>24</v>
      </c>
      <c r="U22" s="12" t="str">
        <f t="shared" ca="1" si="8"/>
        <v xml:space="preserve">Notre Dame </v>
      </c>
      <c r="V22" s="13">
        <f t="shared" ca="1" si="29"/>
        <v>26</v>
      </c>
      <c r="W22" s="12" t="str">
        <f t="shared" ca="1" si="9"/>
        <v xml:space="preserve">Notre Dame </v>
      </c>
      <c r="X22" s="13">
        <f t="shared" ca="1" si="10"/>
        <v>36</v>
      </c>
      <c r="Y22" s="12" t="str">
        <f t="shared" ca="1" si="11"/>
        <v xml:space="preserve">Notre Dame </v>
      </c>
      <c r="Z22" s="13">
        <f t="shared" ca="1" si="12"/>
        <v>37</v>
      </c>
      <c r="AA22" s="12" t="str">
        <f t="shared" ca="1" si="13"/>
        <v xml:space="preserve">Notre Dame </v>
      </c>
      <c r="AB22" s="13">
        <f t="shared" ca="1" si="14"/>
        <v>5</v>
      </c>
      <c r="AC22" s="12" t="str">
        <f t="shared" ca="1" si="15"/>
        <v xml:space="preserve">Notre Dame </v>
      </c>
      <c r="AD22" s="13">
        <f t="shared" ca="1" si="16"/>
        <v>38</v>
      </c>
      <c r="AE22" s="12" t="str">
        <f t="shared" ca="1" si="17"/>
        <v xml:space="preserve">Notre Dame </v>
      </c>
      <c r="AF22" s="13">
        <f t="shared" ca="1" si="18"/>
        <v>36</v>
      </c>
      <c r="AG22" s="12" t="str">
        <f t="shared" ca="1" si="19"/>
        <v xml:space="preserve">Notre Dame </v>
      </c>
      <c r="AH22" s="13">
        <f t="shared" ca="1" si="20"/>
        <v>36</v>
      </c>
    </row>
    <row r="23" spans="1:34" ht="15" hidden="1" thickTop="1" x14ac:dyDescent="0.35">
      <c r="A23" s="4">
        <v>43827</v>
      </c>
      <c r="B23" s="5" t="s">
        <v>65</v>
      </c>
      <c r="C23" s="12" t="s">
        <v>66</v>
      </c>
      <c r="D23" s="13" t="s">
        <v>67</v>
      </c>
      <c r="E23" s="12" t="str">
        <f t="shared" ca="1" si="0"/>
        <v xml:space="preserve">Penn State </v>
      </c>
      <c r="F23" s="13">
        <f t="shared" ca="1" si="1"/>
        <v>12</v>
      </c>
      <c r="G23" s="12" t="str">
        <f t="shared" ca="1" si="2"/>
        <v xml:space="preserve">Penn State </v>
      </c>
      <c r="H23" s="13">
        <f t="shared" ca="1" si="21"/>
        <v>23</v>
      </c>
      <c r="I23" s="12" t="str">
        <f t="shared" ca="1" si="22"/>
        <v xml:space="preserve">Penn State </v>
      </c>
      <c r="J23" s="13">
        <f t="shared" ca="1" si="23"/>
        <v>40</v>
      </c>
      <c r="K23" s="12" t="str">
        <f t="shared" ca="1" si="3"/>
        <v xml:space="preserve">Penn State </v>
      </c>
      <c r="L23" s="13">
        <f t="shared" ca="1" si="24"/>
        <v>38</v>
      </c>
      <c r="M23" s="12" t="str">
        <f t="shared" ca="1" si="4"/>
        <v xml:space="preserve">Penn State </v>
      </c>
      <c r="N23" s="13">
        <f t="shared" ca="1" si="25"/>
        <v>34</v>
      </c>
      <c r="O23" s="12" t="str">
        <f t="shared" ca="1" si="5"/>
        <v xml:space="preserve">Penn State </v>
      </c>
      <c r="P23" s="13">
        <f t="shared" ca="1" si="26"/>
        <v>22</v>
      </c>
      <c r="Q23" s="12" t="str">
        <f t="shared" ca="1" si="6"/>
        <v xml:space="preserve">Penn State </v>
      </c>
      <c r="R23" s="13">
        <f t="shared" ca="1" si="27"/>
        <v>38</v>
      </c>
      <c r="S23" s="12" t="str">
        <f t="shared" ca="1" si="7"/>
        <v xml:space="preserve">Penn State </v>
      </c>
      <c r="T23" s="13">
        <f t="shared" ca="1" si="28"/>
        <v>29</v>
      </c>
      <c r="U23" s="12" t="str">
        <f t="shared" ca="1" si="8"/>
        <v xml:space="preserve">Penn State </v>
      </c>
      <c r="V23" s="13">
        <f t="shared" ca="1" si="29"/>
        <v>30</v>
      </c>
      <c r="W23" s="12" t="str">
        <f t="shared" ca="1" si="9"/>
        <v xml:space="preserve">Penn State </v>
      </c>
      <c r="X23" s="13">
        <f t="shared" ca="1" si="10"/>
        <v>40</v>
      </c>
      <c r="Y23" s="12" t="str">
        <f t="shared" ca="1" si="11"/>
        <v xml:space="preserve">Penn State </v>
      </c>
      <c r="Z23" s="13">
        <f t="shared" ca="1" si="12"/>
        <v>38</v>
      </c>
      <c r="AA23" s="12" t="str">
        <f t="shared" ca="1" si="13"/>
        <v xml:space="preserve">Penn State </v>
      </c>
      <c r="AB23" s="13">
        <f t="shared" ca="1" si="14"/>
        <v>6</v>
      </c>
      <c r="AC23" s="12" t="str">
        <f t="shared" ca="1" si="15"/>
        <v xml:space="preserve">Penn State </v>
      </c>
      <c r="AD23" s="13">
        <f t="shared" ca="1" si="16"/>
        <v>39</v>
      </c>
      <c r="AE23" s="12" t="str">
        <f t="shared" ca="1" si="17"/>
        <v xml:space="preserve">Penn State </v>
      </c>
      <c r="AF23" s="13">
        <f t="shared" ca="1" si="18"/>
        <v>37</v>
      </c>
      <c r="AG23" s="12" t="str">
        <f t="shared" ca="1" si="19"/>
        <v xml:space="preserve">Penn State </v>
      </c>
      <c r="AH23" s="13">
        <f t="shared" ca="1" si="20"/>
        <v>39</v>
      </c>
    </row>
    <row r="24" spans="1:34" ht="15" hidden="1" thickTop="1" x14ac:dyDescent="0.35">
      <c r="A24" s="4">
        <v>43827</v>
      </c>
      <c r="B24" s="5" t="s">
        <v>68</v>
      </c>
      <c r="C24" s="12" t="s">
        <v>69</v>
      </c>
      <c r="D24" s="13" t="s">
        <v>70</v>
      </c>
      <c r="E24" s="12" t="str">
        <f t="shared" ca="1" si="0"/>
        <v xml:space="preserve">LSU </v>
      </c>
      <c r="F24" s="13">
        <f t="shared" ca="1" si="1"/>
        <v>37</v>
      </c>
      <c r="G24" s="12" t="str">
        <f t="shared" ca="1" si="2"/>
        <v xml:space="preserve">LSU </v>
      </c>
      <c r="H24" s="13">
        <f t="shared" ca="1" si="21"/>
        <v>39</v>
      </c>
      <c r="I24" s="12" t="str">
        <f t="shared" ca="1" si="22"/>
        <v xml:space="preserve">LSU </v>
      </c>
      <c r="J24" s="13">
        <f t="shared" ca="1" si="23"/>
        <v>30</v>
      </c>
      <c r="K24" s="12" t="str">
        <f t="shared" ca="1" si="3"/>
        <v xml:space="preserve">LSU </v>
      </c>
      <c r="L24" s="13">
        <f t="shared" ca="1" si="24"/>
        <v>31</v>
      </c>
      <c r="M24" s="12" t="str">
        <f t="shared" ca="1" si="4"/>
        <v xml:space="preserve">LSU </v>
      </c>
      <c r="N24" s="13">
        <f t="shared" ca="1" si="25"/>
        <v>35</v>
      </c>
      <c r="O24" s="12" t="str">
        <f t="shared" ca="1" si="5"/>
        <v xml:space="preserve">LSU </v>
      </c>
      <c r="P24" s="13">
        <f t="shared" ca="1" si="26"/>
        <v>40</v>
      </c>
      <c r="Q24" s="12" t="str">
        <f t="shared" ca="1" si="6"/>
        <v xml:space="preserve">LSU </v>
      </c>
      <c r="R24" s="13">
        <f t="shared" ca="1" si="27"/>
        <v>40</v>
      </c>
      <c r="S24" s="12" t="str">
        <f t="shared" ca="1" si="7"/>
        <v xml:space="preserve">LSU </v>
      </c>
      <c r="T24" s="13">
        <f t="shared" ca="1" si="28"/>
        <v>37</v>
      </c>
      <c r="U24" s="12" t="str">
        <f t="shared" ca="1" si="8"/>
        <v xml:space="preserve">LSU </v>
      </c>
      <c r="V24" s="13">
        <f t="shared" ca="1" si="29"/>
        <v>40</v>
      </c>
      <c r="W24" s="12" t="str">
        <f t="shared" ca="1" si="9"/>
        <v xml:space="preserve">LSU </v>
      </c>
      <c r="X24" s="13">
        <f t="shared" ca="1" si="10"/>
        <v>39</v>
      </c>
      <c r="Y24" s="12" t="str">
        <f t="shared" ca="1" si="11"/>
        <v xml:space="preserve">LSU </v>
      </c>
      <c r="Z24" s="13">
        <f t="shared" ca="1" si="12"/>
        <v>40</v>
      </c>
      <c r="AA24" s="12" t="str">
        <f t="shared" ca="1" si="13"/>
        <v xml:space="preserve">LSU </v>
      </c>
      <c r="AB24" s="13">
        <f t="shared" ca="1" si="14"/>
        <v>7</v>
      </c>
      <c r="AC24" s="12" t="str">
        <f t="shared" ca="1" si="15"/>
        <v>Oklahoma</v>
      </c>
      <c r="AD24" s="13">
        <f t="shared" ca="1" si="16"/>
        <v>17</v>
      </c>
      <c r="AE24" s="12" t="str">
        <f t="shared" ca="1" si="17"/>
        <v xml:space="preserve">LSU </v>
      </c>
      <c r="AF24" s="13">
        <f t="shared" ca="1" si="18"/>
        <v>38</v>
      </c>
      <c r="AG24" s="12" t="str">
        <f t="shared" ca="1" si="19"/>
        <v xml:space="preserve">LSU </v>
      </c>
      <c r="AH24" s="13">
        <f t="shared" ca="1" si="20"/>
        <v>21</v>
      </c>
    </row>
    <row r="25" spans="1:34" ht="15" hidden="1" thickTop="1" x14ac:dyDescent="0.35">
      <c r="A25" s="4">
        <v>43827</v>
      </c>
      <c r="B25" s="5" t="s">
        <v>71</v>
      </c>
      <c r="C25" s="12" t="s">
        <v>72</v>
      </c>
      <c r="D25" s="13" t="s">
        <v>73</v>
      </c>
      <c r="E25" s="12" t="str">
        <f t="shared" ca="1" si="0"/>
        <v xml:space="preserve">Ohio State </v>
      </c>
      <c r="F25" s="13">
        <f t="shared" ca="1" si="1"/>
        <v>9</v>
      </c>
      <c r="G25" s="12" t="str">
        <f t="shared" ca="1" si="2"/>
        <v xml:space="preserve">Ohio State </v>
      </c>
      <c r="H25" s="13">
        <f t="shared" ca="1" si="21"/>
        <v>5</v>
      </c>
      <c r="I25" s="12" t="str">
        <f t="shared" ca="1" si="22"/>
        <v>Clemson</v>
      </c>
      <c r="J25" s="13">
        <f t="shared" ca="1" si="23"/>
        <v>33</v>
      </c>
      <c r="K25" s="12" t="str">
        <f t="shared" ca="1" si="3"/>
        <v xml:space="preserve">Ohio State </v>
      </c>
      <c r="L25" s="13">
        <f t="shared" ca="1" si="24"/>
        <v>7</v>
      </c>
      <c r="M25" s="12" t="str">
        <f t="shared" ca="1" si="4"/>
        <v>Clemson</v>
      </c>
      <c r="N25" s="13">
        <f t="shared" ca="1" si="25"/>
        <v>23</v>
      </c>
      <c r="O25" s="12" t="str">
        <f t="shared" ca="1" si="5"/>
        <v>Clemson</v>
      </c>
      <c r="P25" s="13">
        <f t="shared" ca="1" si="26"/>
        <v>7</v>
      </c>
      <c r="Q25" s="12" t="str">
        <f t="shared" ca="1" si="6"/>
        <v xml:space="preserve">Ohio State </v>
      </c>
      <c r="R25" s="13">
        <f t="shared" ca="1" si="27"/>
        <v>18</v>
      </c>
      <c r="S25" s="12" t="str">
        <f t="shared" ca="1" si="7"/>
        <v xml:space="preserve">Ohio State </v>
      </c>
      <c r="T25" s="13">
        <f t="shared" ca="1" si="28"/>
        <v>8</v>
      </c>
      <c r="U25" s="12" t="str">
        <f t="shared" ca="1" si="8"/>
        <v>Clemson</v>
      </c>
      <c r="V25" s="13">
        <f t="shared" ca="1" si="29"/>
        <v>8</v>
      </c>
      <c r="W25" s="12" t="str">
        <f t="shared" ca="1" si="9"/>
        <v xml:space="preserve">Ohio State </v>
      </c>
      <c r="X25" s="13">
        <f t="shared" ca="1" si="10"/>
        <v>32</v>
      </c>
      <c r="Y25" s="12" t="str">
        <f t="shared" ca="1" si="11"/>
        <v xml:space="preserve">Ohio State </v>
      </c>
      <c r="Z25" s="13">
        <f t="shared" ca="1" si="12"/>
        <v>39</v>
      </c>
      <c r="AA25" s="12" t="str">
        <f t="shared" ca="1" si="13"/>
        <v>Clemson</v>
      </c>
      <c r="AB25" s="13">
        <f t="shared" ca="1" si="14"/>
        <v>25</v>
      </c>
      <c r="AC25" s="12" t="str">
        <f t="shared" ca="1" si="15"/>
        <v>Clemson</v>
      </c>
      <c r="AD25" s="13">
        <f t="shared" ca="1" si="16"/>
        <v>22</v>
      </c>
      <c r="AE25" s="12" t="str">
        <f t="shared" ca="1" si="17"/>
        <v xml:space="preserve">Ohio State </v>
      </c>
      <c r="AF25" s="13">
        <f t="shared" ca="1" si="18"/>
        <v>11</v>
      </c>
      <c r="AG25" s="12" t="str">
        <f t="shared" ca="1" si="19"/>
        <v xml:space="preserve">Ohio State </v>
      </c>
      <c r="AH25" s="13">
        <f t="shared" ca="1" si="20"/>
        <v>1</v>
      </c>
    </row>
    <row r="26" spans="1:34" ht="15" hidden="1" thickTop="1" x14ac:dyDescent="0.35">
      <c r="A26" s="4">
        <v>43829</v>
      </c>
      <c r="B26" s="5" t="s">
        <v>74</v>
      </c>
      <c r="C26" s="12" t="s">
        <v>75</v>
      </c>
      <c r="D26" s="13" t="s">
        <v>76</v>
      </c>
      <c r="E26" s="12" t="str">
        <f t="shared" ca="1" si="0"/>
        <v>Western Michigan</v>
      </c>
      <c r="F26" s="13">
        <f t="shared" ca="1" si="1"/>
        <v>8</v>
      </c>
      <c r="G26" s="12" t="str">
        <f t="shared" ca="1" si="2"/>
        <v>Western Michigan</v>
      </c>
      <c r="H26" s="13">
        <f t="shared" ca="1" si="21"/>
        <v>22</v>
      </c>
      <c r="I26" s="12" t="str">
        <f t="shared" ca="1" si="22"/>
        <v>Western Michigan</v>
      </c>
      <c r="J26" s="13">
        <f t="shared" ca="1" si="23"/>
        <v>4</v>
      </c>
      <c r="K26" s="12" t="str">
        <f t="shared" ca="1" si="3"/>
        <v xml:space="preserve">Western Kentucky </v>
      </c>
      <c r="L26" s="13">
        <f t="shared" ca="1" si="24"/>
        <v>18</v>
      </c>
      <c r="M26" s="12" t="str">
        <f t="shared" ca="1" si="4"/>
        <v xml:space="preserve">Western Kentucky </v>
      </c>
      <c r="N26" s="13">
        <f t="shared" ca="1" si="25"/>
        <v>18</v>
      </c>
      <c r="O26" s="12" t="str">
        <f t="shared" ca="1" si="5"/>
        <v xml:space="preserve">Western Kentucky </v>
      </c>
      <c r="P26" s="13">
        <f t="shared" ca="1" si="26"/>
        <v>8</v>
      </c>
      <c r="Q26" s="12" t="str">
        <f t="shared" ca="1" si="6"/>
        <v xml:space="preserve">Western Kentucky </v>
      </c>
      <c r="R26" s="13">
        <f t="shared" ca="1" si="27"/>
        <v>14</v>
      </c>
      <c r="S26" s="12" t="str">
        <f t="shared" ca="1" si="7"/>
        <v xml:space="preserve">Western Kentucky </v>
      </c>
      <c r="T26" s="13">
        <f t="shared" ca="1" si="28"/>
        <v>7</v>
      </c>
      <c r="U26" s="12" t="str">
        <f t="shared" ca="1" si="8"/>
        <v xml:space="preserve">Western Kentucky </v>
      </c>
      <c r="V26" s="13">
        <f t="shared" ca="1" si="29"/>
        <v>24</v>
      </c>
      <c r="W26" s="12" t="str">
        <f t="shared" ca="1" si="9"/>
        <v>Western Michigan</v>
      </c>
      <c r="X26" s="13">
        <f t="shared" ca="1" si="10"/>
        <v>14</v>
      </c>
      <c r="Y26" s="12" t="str">
        <f t="shared" ca="1" si="11"/>
        <v xml:space="preserve">Western Kentucky </v>
      </c>
      <c r="Z26" s="13">
        <f t="shared" ca="1" si="12"/>
        <v>25</v>
      </c>
      <c r="AA26" s="12" t="str">
        <f t="shared" ca="1" si="13"/>
        <v>Western Michigan</v>
      </c>
      <c r="AB26" s="13">
        <f t="shared" ca="1" si="14"/>
        <v>26</v>
      </c>
      <c r="AC26" s="12" t="str">
        <f t="shared" ca="1" si="15"/>
        <v xml:space="preserve">Western Kentucky </v>
      </c>
      <c r="AD26" s="13">
        <f t="shared" ca="1" si="16"/>
        <v>5</v>
      </c>
      <c r="AE26" s="12" t="str">
        <f t="shared" ca="1" si="17"/>
        <v xml:space="preserve">Western Kentucky </v>
      </c>
      <c r="AF26" s="13">
        <f t="shared" ca="1" si="18"/>
        <v>33</v>
      </c>
      <c r="AG26" s="12" t="str">
        <f t="shared" ca="1" si="19"/>
        <v xml:space="preserve">Western Kentucky </v>
      </c>
      <c r="AH26" s="13">
        <f t="shared" ca="1" si="20"/>
        <v>19</v>
      </c>
    </row>
    <row r="27" spans="1:34" ht="15" hidden="1" thickTop="1" x14ac:dyDescent="0.35">
      <c r="A27" s="4">
        <v>43829</v>
      </c>
      <c r="B27" s="5" t="s">
        <v>77</v>
      </c>
      <c r="C27" s="12" t="s">
        <v>78</v>
      </c>
      <c r="D27" s="13" t="s">
        <v>79</v>
      </c>
      <c r="E27" s="12" t="str">
        <f t="shared" ca="1" si="0"/>
        <v>Louisville</v>
      </c>
      <c r="F27" s="13">
        <f t="shared" ca="1" si="1"/>
        <v>20</v>
      </c>
      <c r="G27" s="12" t="str">
        <f t="shared" ca="1" si="2"/>
        <v>Louisville</v>
      </c>
      <c r="H27" s="13">
        <f t="shared" ca="1" si="21"/>
        <v>10</v>
      </c>
      <c r="I27" s="12" t="str">
        <f t="shared" ca="1" si="22"/>
        <v xml:space="preserve">Mississippi State </v>
      </c>
      <c r="J27" s="13">
        <f t="shared" ca="1" si="23"/>
        <v>9</v>
      </c>
      <c r="K27" s="12" t="str">
        <f t="shared" ca="1" si="3"/>
        <v xml:space="preserve">Mississippi State </v>
      </c>
      <c r="L27" s="13">
        <f t="shared" ca="1" si="24"/>
        <v>8</v>
      </c>
      <c r="M27" s="12" t="str">
        <f t="shared" ca="1" si="4"/>
        <v xml:space="preserve">Mississippi State </v>
      </c>
      <c r="N27" s="13">
        <f t="shared" ca="1" si="25"/>
        <v>14</v>
      </c>
      <c r="O27" s="12" t="str">
        <f t="shared" ca="1" si="5"/>
        <v>Louisville</v>
      </c>
      <c r="P27" s="13">
        <f t="shared" ca="1" si="26"/>
        <v>27</v>
      </c>
      <c r="Q27" s="12" t="str">
        <f t="shared" ca="1" si="6"/>
        <v xml:space="preserve">Mississippi State </v>
      </c>
      <c r="R27" s="13">
        <f t="shared" ca="1" si="27"/>
        <v>16</v>
      </c>
      <c r="S27" s="12" t="str">
        <f t="shared" ca="1" si="7"/>
        <v>Louisville</v>
      </c>
      <c r="T27" s="13">
        <f t="shared" ca="1" si="28"/>
        <v>3</v>
      </c>
      <c r="U27" s="12" t="str">
        <f t="shared" ca="1" si="8"/>
        <v>Louisville</v>
      </c>
      <c r="V27" s="13">
        <f t="shared" ca="1" si="29"/>
        <v>10</v>
      </c>
      <c r="W27" s="12" t="str">
        <f t="shared" ca="1" si="9"/>
        <v>Louisville</v>
      </c>
      <c r="X27" s="13">
        <f t="shared" ca="1" si="10"/>
        <v>16</v>
      </c>
      <c r="Y27" s="12" t="str">
        <f t="shared" ca="1" si="11"/>
        <v>Louisville</v>
      </c>
      <c r="Z27" s="13">
        <f t="shared" ca="1" si="12"/>
        <v>7</v>
      </c>
      <c r="AA27" s="12" t="str">
        <f t="shared" ca="1" si="13"/>
        <v xml:space="preserve">Mississippi State </v>
      </c>
      <c r="AB27" s="13">
        <f t="shared" ca="1" si="14"/>
        <v>24</v>
      </c>
      <c r="AC27" s="12" t="str">
        <f t="shared" ca="1" si="15"/>
        <v>Louisville</v>
      </c>
      <c r="AD27" s="13">
        <f t="shared" ca="1" si="16"/>
        <v>14</v>
      </c>
      <c r="AE27" s="12" t="str">
        <f t="shared" ca="1" si="17"/>
        <v>Louisville</v>
      </c>
      <c r="AF27" s="13">
        <f t="shared" ca="1" si="18"/>
        <v>32</v>
      </c>
      <c r="AG27" s="12" t="str">
        <f t="shared" ca="1" si="19"/>
        <v>Louisville</v>
      </c>
      <c r="AH27" s="13">
        <f t="shared" ca="1" si="20"/>
        <v>31</v>
      </c>
    </row>
    <row r="28" spans="1:34" ht="15" hidden="1" thickTop="1" x14ac:dyDescent="0.35">
      <c r="A28" s="4">
        <v>43829</v>
      </c>
      <c r="B28" s="5" t="s">
        <v>80</v>
      </c>
      <c r="C28" s="12" t="s">
        <v>81</v>
      </c>
      <c r="D28" s="13" t="s">
        <v>82</v>
      </c>
      <c r="E28" s="12" t="str">
        <f t="shared" ca="1" si="0"/>
        <v xml:space="preserve">Illinois </v>
      </c>
      <c r="F28" s="13">
        <f t="shared" ca="1" si="1"/>
        <v>6</v>
      </c>
      <c r="G28" s="12" t="str">
        <f t="shared" ca="1" si="2"/>
        <v>California</v>
      </c>
      <c r="H28" s="13">
        <f t="shared" ca="1" si="21"/>
        <v>29</v>
      </c>
      <c r="I28" s="12" t="str">
        <f t="shared" ca="1" si="22"/>
        <v>California</v>
      </c>
      <c r="J28" s="13">
        <f t="shared" ca="1" si="23"/>
        <v>19</v>
      </c>
      <c r="K28" s="12" t="str">
        <f t="shared" ca="1" si="3"/>
        <v>California</v>
      </c>
      <c r="L28" s="13">
        <f t="shared" ca="1" si="24"/>
        <v>25</v>
      </c>
      <c r="M28" s="12" t="str">
        <f t="shared" ca="1" si="4"/>
        <v>California</v>
      </c>
      <c r="N28" s="13">
        <f t="shared" ca="1" si="25"/>
        <v>17</v>
      </c>
      <c r="O28" s="12" t="str">
        <f t="shared" ca="1" si="5"/>
        <v>California</v>
      </c>
      <c r="P28" s="13">
        <f t="shared" ca="1" si="26"/>
        <v>14</v>
      </c>
      <c r="Q28" s="12" t="str">
        <f t="shared" ca="1" si="6"/>
        <v>California</v>
      </c>
      <c r="R28" s="13">
        <f t="shared" ca="1" si="27"/>
        <v>3</v>
      </c>
      <c r="S28" s="12" t="str">
        <f t="shared" ca="1" si="7"/>
        <v>California</v>
      </c>
      <c r="T28" s="13">
        <f t="shared" ca="1" si="28"/>
        <v>15</v>
      </c>
      <c r="U28" s="12" t="str">
        <f t="shared" ca="1" si="8"/>
        <v>California</v>
      </c>
      <c r="V28" s="13">
        <f t="shared" ca="1" si="29"/>
        <v>17</v>
      </c>
      <c r="W28" s="12" t="str">
        <f t="shared" ca="1" si="9"/>
        <v xml:space="preserve">Illinois </v>
      </c>
      <c r="X28" s="13">
        <f t="shared" ca="1" si="10"/>
        <v>17</v>
      </c>
      <c r="Y28" s="12" t="str">
        <f t="shared" ca="1" si="11"/>
        <v xml:space="preserve">Illinois </v>
      </c>
      <c r="Z28" s="13">
        <f t="shared" ca="1" si="12"/>
        <v>8</v>
      </c>
      <c r="AA28" s="12" t="str">
        <f t="shared" ca="1" si="13"/>
        <v>California</v>
      </c>
      <c r="AB28" s="13">
        <f t="shared" ca="1" si="14"/>
        <v>23</v>
      </c>
      <c r="AC28" s="12" t="str">
        <f t="shared" ca="1" si="15"/>
        <v>California</v>
      </c>
      <c r="AD28" s="13">
        <f t="shared" ca="1" si="16"/>
        <v>18</v>
      </c>
      <c r="AE28" s="12" t="str">
        <f t="shared" ca="1" si="17"/>
        <v>California</v>
      </c>
      <c r="AF28" s="13">
        <f t="shared" ca="1" si="18"/>
        <v>12</v>
      </c>
      <c r="AG28" s="12" t="str">
        <f t="shared" ca="1" si="19"/>
        <v xml:space="preserve">Illinois </v>
      </c>
      <c r="AH28" s="13">
        <f t="shared" ca="1" si="20"/>
        <v>10</v>
      </c>
    </row>
    <row r="29" spans="1:34" ht="15" hidden="1" thickTop="1" x14ac:dyDescent="0.35">
      <c r="A29" s="4">
        <v>43829</v>
      </c>
      <c r="B29" s="5" t="s">
        <v>83</v>
      </c>
      <c r="C29" s="12" t="s">
        <v>84</v>
      </c>
      <c r="D29" s="13" t="s">
        <v>85</v>
      </c>
      <c r="E29" s="12" t="str">
        <f t="shared" ca="1" si="0"/>
        <v xml:space="preserve">Florida </v>
      </c>
      <c r="F29" s="13">
        <f t="shared" ca="1" si="1"/>
        <v>38</v>
      </c>
      <c r="G29" s="12" t="str">
        <f t="shared" ca="1" si="2"/>
        <v xml:space="preserve">Florida </v>
      </c>
      <c r="H29" s="13">
        <f t="shared" ca="1" si="21"/>
        <v>40</v>
      </c>
      <c r="I29" s="12" t="str">
        <f t="shared" ca="1" si="22"/>
        <v xml:space="preserve">Florida </v>
      </c>
      <c r="J29" s="13">
        <f t="shared" ca="1" si="23"/>
        <v>14</v>
      </c>
      <c r="K29" s="12" t="str">
        <f t="shared" ca="1" si="3"/>
        <v xml:space="preserve">Florida </v>
      </c>
      <c r="L29" s="13">
        <f t="shared" ca="1" si="24"/>
        <v>37</v>
      </c>
      <c r="M29" s="12" t="str">
        <f t="shared" ca="1" si="4"/>
        <v xml:space="preserve">Florida </v>
      </c>
      <c r="N29" s="13">
        <f t="shared" ca="1" si="25"/>
        <v>40</v>
      </c>
      <c r="O29" s="12" t="str">
        <f t="shared" ca="1" si="5"/>
        <v xml:space="preserve">Florida </v>
      </c>
      <c r="P29" s="13">
        <f t="shared" ca="1" si="26"/>
        <v>37</v>
      </c>
      <c r="Q29" s="12" t="str">
        <f t="shared" ca="1" si="6"/>
        <v xml:space="preserve">Florida </v>
      </c>
      <c r="R29" s="13">
        <f t="shared" ca="1" si="27"/>
        <v>37</v>
      </c>
      <c r="S29" s="12" t="str">
        <f t="shared" ca="1" si="7"/>
        <v xml:space="preserve">Florida </v>
      </c>
      <c r="T29" s="13">
        <f t="shared" ca="1" si="28"/>
        <v>38</v>
      </c>
      <c r="U29" s="12" t="str">
        <f t="shared" ca="1" si="8"/>
        <v xml:space="preserve">Florida </v>
      </c>
      <c r="V29" s="13">
        <f t="shared" ca="1" si="29"/>
        <v>36</v>
      </c>
      <c r="W29" s="12" t="str">
        <f t="shared" ca="1" si="9"/>
        <v xml:space="preserve">Florida </v>
      </c>
      <c r="X29" s="13">
        <f t="shared" ca="1" si="10"/>
        <v>38</v>
      </c>
      <c r="Y29" s="12" t="str">
        <f t="shared" ca="1" si="11"/>
        <v>Virginia</v>
      </c>
      <c r="Z29" s="13">
        <f t="shared" ca="1" si="12"/>
        <v>9</v>
      </c>
      <c r="AA29" s="12" t="str">
        <f t="shared" ca="1" si="13"/>
        <v xml:space="preserve">Florida </v>
      </c>
      <c r="AB29" s="13">
        <f t="shared" ca="1" si="14"/>
        <v>8</v>
      </c>
      <c r="AC29" s="12" t="str">
        <f t="shared" ca="1" si="15"/>
        <v>Virginia</v>
      </c>
      <c r="AD29" s="13">
        <f t="shared" ca="1" si="16"/>
        <v>30</v>
      </c>
      <c r="AE29" s="12" t="str">
        <f t="shared" ca="1" si="17"/>
        <v xml:space="preserve">Florida </v>
      </c>
      <c r="AF29" s="13">
        <f t="shared" ca="1" si="18"/>
        <v>40</v>
      </c>
      <c r="AG29" s="12" t="str">
        <f t="shared" ca="1" si="19"/>
        <v xml:space="preserve">Florida </v>
      </c>
      <c r="AH29" s="13">
        <f t="shared" ca="1" si="20"/>
        <v>38</v>
      </c>
    </row>
    <row r="30" spans="1:34" ht="15" hidden="1" thickTop="1" x14ac:dyDescent="0.35">
      <c r="A30" s="4">
        <v>43830</v>
      </c>
      <c r="B30" s="5" t="s">
        <v>86</v>
      </c>
      <c r="C30" s="12" t="s">
        <v>87</v>
      </c>
      <c r="D30" s="13" t="s">
        <v>88</v>
      </c>
      <c r="E30" s="12" t="str">
        <f t="shared" ca="1" si="0"/>
        <v>Virginia Tech</v>
      </c>
      <c r="F30" s="13">
        <f t="shared" ca="1" si="1"/>
        <v>23</v>
      </c>
      <c r="G30" s="12" t="str">
        <f t="shared" ca="1" si="2"/>
        <v>Virginia Tech</v>
      </c>
      <c r="H30" s="13">
        <f t="shared" ca="1" si="21"/>
        <v>9</v>
      </c>
      <c r="I30" s="12" t="str">
        <f t="shared" ca="1" si="22"/>
        <v>Virginia Tech</v>
      </c>
      <c r="J30" s="13">
        <f t="shared" ca="1" si="23"/>
        <v>12</v>
      </c>
      <c r="K30" s="12" t="str">
        <f t="shared" ca="1" si="3"/>
        <v>Virginia Tech</v>
      </c>
      <c r="L30" s="13">
        <f t="shared" ca="1" si="24"/>
        <v>17</v>
      </c>
      <c r="M30" s="12" t="str">
        <f t="shared" ca="1" si="4"/>
        <v xml:space="preserve">Kentucky </v>
      </c>
      <c r="N30" s="13">
        <f t="shared" ca="1" si="25"/>
        <v>20</v>
      </c>
      <c r="O30" s="12" t="str">
        <f t="shared" ca="1" si="5"/>
        <v>Virginia Tech</v>
      </c>
      <c r="P30" s="13">
        <f t="shared" ca="1" si="26"/>
        <v>36</v>
      </c>
      <c r="Q30" s="12" t="str">
        <f t="shared" ca="1" si="6"/>
        <v xml:space="preserve">Kentucky </v>
      </c>
      <c r="R30" s="13">
        <f t="shared" ca="1" si="27"/>
        <v>21</v>
      </c>
      <c r="S30" s="12" t="str">
        <f t="shared" ca="1" si="7"/>
        <v>Virginia Tech</v>
      </c>
      <c r="T30" s="13">
        <f t="shared" ca="1" si="28"/>
        <v>27</v>
      </c>
      <c r="U30" s="12" t="str">
        <f t="shared" ca="1" si="8"/>
        <v>Virginia Tech</v>
      </c>
      <c r="V30" s="13">
        <f t="shared" ca="1" si="29"/>
        <v>11</v>
      </c>
      <c r="W30" s="12" t="str">
        <f t="shared" ca="1" si="9"/>
        <v>Virginia Tech</v>
      </c>
      <c r="X30" s="13">
        <f t="shared" ca="1" si="10"/>
        <v>18</v>
      </c>
      <c r="Y30" s="12" t="str">
        <f t="shared" ca="1" si="11"/>
        <v>Virginia Tech</v>
      </c>
      <c r="Z30" s="13">
        <f t="shared" ca="1" si="12"/>
        <v>10</v>
      </c>
      <c r="AA30" s="12" t="str">
        <f t="shared" ca="1" si="13"/>
        <v>Virginia Tech</v>
      </c>
      <c r="AB30" s="13">
        <f t="shared" ca="1" si="14"/>
        <v>10</v>
      </c>
      <c r="AC30" s="12" t="str">
        <f t="shared" ca="1" si="15"/>
        <v xml:space="preserve">Kentucky </v>
      </c>
      <c r="AD30" s="13">
        <f t="shared" ca="1" si="16"/>
        <v>19</v>
      </c>
      <c r="AE30" s="12" t="str">
        <f t="shared" ca="1" si="17"/>
        <v>Virginia Tech</v>
      </c>
      <c r="AF30" s="13">
        <f t="shared" ca="1" si="18"/>
        <v>18</v>
      </c>
      <c r="AG30" s="12" t="str">
        <f t="shared" ca="1" si="19"/>
        <v>Virginia Tech</v>
      </c>
      <c r="AH30" s="13">
        <f t="shared" ca="1" si="20"/>
        <v>30</v>
      </c>
    </row>
    <row r="31" spans="1:34" ht="15" hidden="1" thickTop="1" x14ac:dyDescent="0.35">
      <c r="A31" s="4">
        <v>43830</v>
      </c>
      <c r="B31" s="5" t="s">
        <v>89</v>
      </c>
      <c r="C31" s="12" t="s">
        <v>90</v>
      </c>
      <c r="D31" s="13" t="s">
        <v>91</v>
      </c>
      <c r="E31" s="12" t="str">
        <f t="shared" ca="1" si="0"/>
        <v>Arizona State</v>
      </c>
      <c r="F31" s="13">
        <f t="shared" ca="1" si="1"/>
        <v>18</v>
      </c>
      <c r="G31" s="12" t="str">
        <f t="shared" ca="1" si="2"/>
        <v>Arizona State</v>
      </c>
      <c r="H31" s="13">
        <f t="shared" ca="1" si="21"/>
        <v>8</v>
      </c>
      <c r="I31" s="12" t="str">
        <f t="shared" ca="1" si="22"/>
        <v xml:space="preserve">Florida State </v>
      </c>
      <c r="J31" s="13">
        <f t="shared" ca="1" si="23"/>
        <v>13</v>
      </c>
      <c r="K31" s="12" t="str">
        <f t="shared" ca="1" si="3"/>
        <v>Arizona State</v>
      </c>
      <c r="L31" s="13">
        <f t="shared" ca="1" si="24"/>
        <v>21</v>
      </c>
      <c r="M31" s="12" t="str">
        <f t="shared" ca="1" si="4"/>
        <v>Arizona State</v>
      </c>
      <c r="N31" s="13">
        <f t="shared" ca="1" si="25"/>
        <v>28</v>
      </c>
      <c r="O31" s="12" t="str">
        <f t="shared" ca="1" si="5"/>
        <v>Arizona State</v>
      </c>
      <c r="P31" s="13">
        <f t="shared" ca="1" si="26"/>
        <v>35</v>
      </c>
      <c r="Q31" s="12" t="str">
        <f t="shared" ca="1" si="6"/>
        <v>Arizona State</v>
      </c>
      <c r="R31" s="13">
        <f t="shared" ca="1" si="27"/>
        <v>17</v>
      </c>
      <c r="S31" s="12" t="str">
        <f t="shared" ca="1" si="7"/>
        <v>Arizona State</v>
      </c>
      <c r="T31" s="13">
        <f t="shared" ca="1" si="28"/>
        <v>33</v>
      </c>
      <c r="U31" s="12" t="str">
        <f t="shared" ca="1" si="8"/>
        <v>Arizona State</v>
      </c>
      <c r="V31" s="13">
        <f t="shared" ca="1" si="29"/>
        <v>29</v>
      </c>
      <c r="W31" s="12" t="str">
        <f t="shared" ca="1" si="9"/>
        <v>Arizona State</v>
      </c>
      <c r="X31" s="13">
        <f t="shared" ca="1" si="10"/>
        <v>19</v>
      </c>
      <c r="Y31" s="12" t="str">
        <f t="shared" ca="1" si="11"/>
        <v>Arizona State</v>
      </c>
      <c r="Z31" s="13">
        <f t="shared" ca="1" si="12"/>
        <v>24</v>
      </c>
      <c r="AA31" s="12" t="str">
        <f t="shared" ca="1" si="13"/>
        <v>Arizona State</v>
      </c>
      <c r="AB31" s="13">
        <f t="shared" ca="1" si="14"/>
        <v>9</v>
      </c>
      <c r="AC31" s="12" t="str">
        <f t="shared" ca="1" si="15"/>
        <v xml:space="preserve">Florida State </v>
      </c>
      <c r="AD31" s="13">
        <f t="shared" ca="1" si="16"/>
        <v>28</v>
      </c>
      <c r="AE31" s="12" t="str">
        <f t="shared" ca="1" si="17"/>
        <v>Arizona State</v>
      </c>
      <c r="AF31" s="13">
        <f t="shared" ca="1" si="18"/>
        <v>28</v>
      </c>
      <c r="AG31" s="12" t="str">
        <f t="shared" ca="1" si="19"/>
        <v>Arizona State</v>
      </c>
      <c r="AH31" s="13">
        <f t="shared" ca="1" si="20"/>
        <v>29</v>
      </c>
    </row>
    <row r="32" spans="1:34" ht="15" hidden="1" thickTop="1" x14ac:dyDescent="0.35">
      <c r="A32" s="4">
        <v>43830</v>
      </c>
      <c r="B32" s="5" t="s">
        <v>92</v>
      </c>
      <c r="C32" s="12" t="s">
        <v>93</v>
      </c>
      <c r="D32" s="13" t="s">
        <v>94</v>
      </c>
      <c r="E32" s="12" t="str">
        <f t="shared" ca="1" si="0"/>
        <v>Kansas State</v>
      </c>
      <c r="F32" s="13">
        <f t="shared" ca="1" si="1"/>
        <v>29</v>
      </c>
      <c r="G32" s="12" t="str">
        <f t="shared" ca="1" si="2"/>
        <v>Kansas State</v>
      </c>
      <c r="H32" s="13">
        <f t="shared" ca="1" si="21"/>
        <v>1</v>
      </c>
      <c r="I32" s="12" t="str">
        <f t="shared" ca="1" si="22"/>
        <v>Navy</v>
      </c>
      <c r="J32" s="13">
        <f t="shared" ca="1" si="23"/>
        <v>28</v>
      </c>
      <c r="K32" s="12" t="str">
        <f t="shared" ca="1" si="3"/>
        <v>Navy</v>
      </c>
      <c r="L32" s="13">
        <f t="shared" ca="1" si="24"/>
        <v>9</v>
      </c>
      <c r="M32" s="12" t="str">
        <f t="shared" ca="1" si="4"/>
        <v>Navy</v>
      </c>
      <c r="N32" s="13">
        <f t="shared" ca="1" si="25"/>
        <v>26</v>
      </c>
      <c r="O32" s="12" t="str">
        <f t="shared" ca="1" si="5"/>
        <v>Navy</v>
      </c>
      <c r="P32" s="13">
        <f t="shared" ca="1" si="26"/>
        <v>9</v>
      </c>
      <c r="Q32" s="12" t="str">
        <f t="shared" ca="1" si="6"/>
        <v>Navy</v>
      </c>
      <c r="R32" s="13">
        <f t="shared" ca="1" si="27"/>
        <v>23</v>
      </c>
      <c r="S32" s="12" t="str">
        <f t="shared" ca="1" si="7"/>
        <v>Navy</v>
      </c>
      <c r="T32" s="13">
        <f t="shared" ca="1" si="28"/>
        <v>16</v>
      </c>
      <c r="U32" s="12" t="str">
        <f t="shared" ca="1" si="8"/>
        <v>Navy</v>
      </c>
      <c r="V32" s="13">
        <f t="shared" ca="1" si="29"/>
        <v>18</v>
      </c>
      <c r="W32" s="12" t="str">
        <f t="shared" ca="1" si="9"/>
        <v>Navy</v>
      </c>
      <c r="X32" s="13">
        <f t="shared" ca="1" si="10"/>
        <v>21</v>
      </c>
      <c r="Y32" s="12" t="str">
        <f t="shared" ca="1" si="11"/>
        <v>Navy</v>
      </c>
      <c r="Z32" s="13">
        <f t="shared" ca="1" si="12"/>
        <v>11</v>
      </c>
      <c r="AA32" s="12" t="str">
        <f t="shared" ca="1" si="13"/>
        <v>Navy</v>
      </c>
      <c r="AB32" s="13">
        <f t="shared" ca="1" si="14"/>
        <v>21</v>
      </c>
      <c r="AC32" s="12" t="str">
        <f t="shared" ca="1" si="15"/>
        <v>Navy</v>
      </c>
      <c r="AD32" s="13">
        <f t="shared" ca="1" si="16"/>
        <v>35</v>
      </c>
      <c r="AE32" s="12" t="str">
        <f t="shared" ca="1" si="17"/>
        <v>Navy</v>
      </c>
      <c r="AF32" s="13">
        <f t="shared" ca="1" si="18"/>
        <v>27</v>
      </c>
      <c r="AG32" s="12" t="str">
        <f t="shared" ca="1" si="19"/>
        <v>Navy</v>
      </c>
      <c r="AH32" s="13">
        <f t="shared" ca="1" si="20"/>
        <v>7</v>
      </c>
    </row>
    <row r="33" spans="1:34" ht="15" hidden="1" thickTop="1" x14ac:dyDescent="0.35">
      <c r="A33" s="4">
        <v>43830</v>
      </c>
      <c r="B33" s="5" t="s">
        <v>95</v>
      </c>
      <c r="C33" s="12" t="s">
        <v>96</v>
      </c>
      <c r="D33" s="13" t="s">
        <v>97</v>
      </c>
      <c r="E33" s="12" t="str">
        <f t="shared" ca="1" si="0"/>
        <v>Wyoming</v>
      </c>
      <c r="F33" s="13">
        <f t="shared" ca="1" si="1"/>
        <v>30</v>
      </c>
      <c r="G33" s="12" t="str">
        <f t="shared" ca="1" si="2"/>
        <v>Wyoming</v>
      </c>
      <c r="H33" s="13">
        <f t="shared" ca="1" si="21"/>
        <v>31</v>
      </c>
      <c r="I33" s="12" t="str">
        <f t="shared" ca="1" si="22"/>
        <v xml:space="preserve">Georgia State </v>
      </c>
      <c r="J33" s="13">
        <f t="shared" ca="1" si="23"/>
        <v>11</v>
      </c>
      <c r="K33" s="12" t="str">
        <f t="shared" ca="1" si="3"/>
        <v>Wyoming</v>
      </c>
      <c r="L33" s="13">
        <f t="shared" ca="1" si="24"/>
        <v>24</v>
      </c>
      <c r="M33" s="12" t="str">
        <f t="shared" ca="1" si="4"/>
        <v>Wyoming</v>
      </c>
      <c r="N33" s="13">
        <f t="shared" ca="1" si="25"/>
        <v>19</v>
      </c>
      <c r="O33" s="12" t="str">
        <f t="shared" ca="1" si="5"/>
        <v>Wyoming</v>
      </c>
      <c r="P33" s="13">
        <f t="shared" ca="1" si="26"/>
        <v>15</v>
      </c>
      <c r="Q33" s="12" t="str">
        <f t="shared" ca="1" si="6"/>
        <v>Wyoming</v>
      </c>
      <c r="R33" s="13">
        <f t="shared" ca="1" si="27"/>
        <v>27</v>
      </c>
      <c r="S33" s="12" t="str">
        <f t="shared" ca="1" si="7"/>
        <v>Wyoming</v>
      </c>
      <c r="T33" s="13">
        <f t="shared" ca="1" si="28"/>
        <v>32</v>
      </c>
      <c r="U33" s="12" t="str">
        <f t="shared" ca="1" si="8"/>
        <v xml:space="preserve">Georgia State </v>
      </c>
      <c r="V33" s="13">
        <f t="shared" ca="1" si="29"/>
        <v>2</v>
      </c>
      <c r="W33" s="12" t="str">
        <f t="shared" ca="1" si="9"/>
        <v>Wyoming</v>
      </c>
      <c r="X33" s="13">
        <f t="shared" ca="1" si="10"/>
        <v>6</v>
      </c>
      <c r="Y33" s="12" t="str">
        <f t="shared" ca="1" si="11"/>
        <v xml:space="preserve">Georgia State </v>
      </c>
      <c r="Z33" s="13">
        <f t="shared" ca="1" si="12"/>
        <v>31</v>
      </c>
      <c r="AA33" s="12" t="str">
        <f t="shared" ca="1" si="13"/>
        <v>Wyoming</v>
      </c>
      <c r="AB33" s="13">
        <f t="shared" ca="1" si="14"/>
        <v>11</v>
      </c>
      <c r="AC33" s="12" t="str">
        <f t="shared" ca="1" si="15"/>
        <v>Wyoming</v>
      </c>
      <c r="AD33" s="13">
        <f t="shared" ca="1" si="16"/>
        <v>26</v>
      </c>
      <c r="AE33" s="12" t="str">
        <f t="shared" ca="1" si="17"/>
        <v>Wyoming</v>
      </c>
      <c r="AF33" s="13">
        <f t="shared" ca="1" si="18"/>
        <v>26</v>
      </c>
      <c r="AG33" s="12" t="str">
        <f t="shared" ca="1" si="19"/>
        <v>Wyoming</v>
      </c>
      <c r="AH33" s="13">
        <f t="shared" ca="1" si="20"/>
        <v>6</v>
      </c>
    </row>
    <row r="34" spans="1:34" ht="15" hidden="1" thickTop="1" x14ac:dyDescent="0.35">
      <c r="A34" s="4">
        <v>43830</v>
      </c>
      <c r="B34" s="5" t="s">
        <v>98</v>
      </c>
      <c r="C34" s="12" t="s">
        <v>99</v>
      </c>
      <c r="D34" s="13" t="s">
        <v>100</v>
      </c>
      <c r="E34" s="12" t="str">
        <f t="shared" ca="1" si="0"/>
        <v>Texas</v>
      </c>
      <c r="F34" s="13">
        <f t="shared" ca="1" si="1"/>
        <v>14</v>
      </c>
      <c r="G34" s="12" t="str">
        <f t="shared" ca="1" si="2"/>
        <v xml:space="preserve">Utah </v>
      </c>
      <c r="H34" s="13">
        <f t="shared" ca="1" si="21"/>
        <v>27</v>
      </c>
      <c r="I34" s="12" t="str">
        <f t="shared" ca="1" si="22"/>
        <v>Texas</v>
      </c>
      <c r="J34" s="13">
        <f t="shared" ca="1" si="23"/>
        <v>26</v>
      </c>
      <c r="K34" s="12" t="str">
        <f t="shared" ca="1" si="3"/>
        <v xml:space="preserve">Utah </v>
      </c>
      <c r="L34" s="13">
        <f t="shared" ca="1" si="24"/>
        <v>26</v>
      </c>
      <c r="M34" s="12" t="str">
        <f t="shared" ca="1" si="4"/>
        <v xml:space="preserve">Utah </v>
      </c>
      <c r="N34" s="13">
        <f t="shared" ca="1" si="25"/>
        <v>9</v>
      </c>
      <c r="O34" s="12" t="str">
        <f t="shared" ca="1" si="5"/>
        <v xml:space="preserve">Utah </v>
      </c>
      <c r="P34" s="13">
        <f t="shared" ca="1" si="26"/>
        <v>18</v>
      </c>
      <c r="Q34" s="12" t="str">
        <f t="shared" ca="1" si="6"/>
        <v xml:space="preserve">Utah </v>
      </c>
      <c r="R34" s="13">
        <f t="shared" ca="1" si="27"/>
        <v>29</v>
      </c>
      <c r="S34" s="12" t="str">
        <f t="shared" ca="1" si="7"/>
        <v xml:space="preserve">Utah </v>
      </c>
      <c r="T34" s="13">
        <f t="shared" ca="1" si="28"/>
        <v>25</v>
      </c>
      <c r="U34" s="12" t="str">
        <f t="shared" ca="1" si="8"/>
        <v xml:space="preserve">Utah </v>
      </c>
      <c r="V34" s="13">
        <f t="shared" ca="1" si="29"/>
        <v>32</v>
      </c>
      <c r="W34" s="12" t="str">
        <f t="shared" ca="1" si="9"/>
        <v xml:space="preserve">Utah </v>
      </c>
      <c r="X34" s="13">
        <f t="shared" ca="1" si="10"/>
        <v>37</v>
      </c>
      <c r="Y34" s="12" t="str">
        <f t="shared" ca="1" si="11"/>
        <v xml:space="preserve">Utah </v>
      </c>
      <c r="Z34" s="13">
        <f t="shared" ca="1" si="12"/>
        <v>32</v>
      </c>
      <c r="AA34" s="12" t="str">
        <f t="shared" ca="1" si="13"/>
        <v xml:space="preserve">Utah </v>
      </c>
      <c r="AB34" s="13">
        <f t="shared" ca="1" si="14"/>
        <v>20</v>
      </c>
      <c r="AC34" s="12" t="str">
        <f t="shared" ca="1" si="15"/>
        <v xml:space="preserve">Utah </v>
      </c>
      <c r="AD34" s="13">
        <f t="shared" ca="1" si="16"/>
        <v>2</v>
      </c>
      <c r="AE34" s="12" t="str">
        <f t="shared" ca="1" si="17"/>
        <v xml:space="preserve">Utah </v>
      </c>
      <c r="AF34" s="13">
        <f t="shared" ca="1" si="18"/>
        <v>35</v>
      </c>
      <c r="AG34" s="12" t="str">
        <f t="shared" ca="1" si="19"/>
        <v xml:space="preserve">Utah </v>
      </c>
      <c r="AH34" s="13">
        <f t="shared" ca="1" si="20"/>
        <v>40</v>
      </c>
    </row>
    <row r="35" spans="1:34" ht="15" hidden="1" thickTop="1" x14ac:dyDescent="0.35">
      <c r="A35" s="4">
        <v>43831</v>
      </c>
      <c r="B35" s="5" t="s">
        <v>101</v>
      </c>
      <c r="C35" s="12" t="s">
        <v>102</v>
      </c>
      <c r="D35" s="13" t="s">
        <v>103</v>
      </c>
      <c r="E35" s="12" t="str">
        <f t="shared" ca="1" si="0"/>
        <v xml:space="preserve">Alabama </v>
      </c>
      <c r="F35" s="13">
        <f t="shared" ca="1" si="1"/>
        <v>33</v>
      </c>
      <c r="G35" s="12" t="str">
        <f t="shared" ca="1" si="2"/>
        <v xml:space="preserve">Alabama </v>
      </c>
      <c r="H35" s="13">
        <f t="shared" ca="1" si="21"/>
        <v>36</v>
      </c>
      <c r="I35" s="12" t="str">
        <f t="shared" ca="1" si="22"/>
        <v>Michigan</v>
      </c>
      <c r="J35" s="13">
        <f t="shared" ca="1" si="23"/>
        <v>18</v>
      </c>
      <c r="K35" s="12" t="str">
        <f t="shared" ca="1" si="3"/>
        <v xml:space="preserve">Alabama </v>
      </c>
      <c r="L35" s="13">
        <f t="shared" ca="1" si="24"/>
        <v>32</v>
      </c>
      <c r="M35" s="12" t="str">
        <f t="shared" ca="1" si="4"/>
        <v xml:space="preserve">Alabama </v>
      </c>
      <c r="N35" s="13">
        <f t="shared" ca="1" si="25"/>
        <v>33</v>
      </c>
      <c r="O35" s="12" t="str">
        <f t="shared" ca="1" si="5"/>
        <v xml:space="preserve">Alabama </v>
      </c>
      <c r="P35" s="13">
        <f t="shared" ca="1" si="26"/>
        <v>39</v>
      </c>
      <c r="Q35" s="12" t="str">
        <f t="shared" ca="1" si="6"/>
        <v xml:space="preserve">Alabama </v>
      </c>
      <c r="R35" s="13">
        <f t="shared" ca="1" si="27"/>
        <v>30</v>
      </c>
      <c r="S35" s="12" t="str">
        <f t="shared" ca="1" si="7"/>
        <v xml:space="preserve">Alabama </v>
      </c>
      <c r="T35" s="13">
        <f t="shared" ca="1" si="28"/>
        <v>30</v>
      </c>
      <c r="U35" s="12" t="str">
        <f t="shared" ca="1" si="8"/>
        <v xml:space="preserve">Alabama </v>
      </c>
      <c r="V35" s="13">
        <f t="shared" ca="1" si="29"/>
        <v>23</v>
      </c>
      <c r="W35" s="12" t="str">
        <f t="shared" ca="1" si="9"/>
        <v>Michigan</v>
      </c>
      <c r="X35" s="13">
        <f t="shared" ca="1" si="10"/>
        <v>22</v>
      </c>
      <c r="Y35" s="12" t="str">
        <f t="shared" ca="1" si="11"/>
        <v xml:space="preserve">Alabama </v>
      </c>
      <c r="Z35" s="13">
        <f t="shared" ca="1" si="12"/>
        <v>13</v>
      </c>
      <c r="AA35" s="12" t="str">
        <f t="shared" ca="1" si="13"/>
        <v xml:space="preserve">Alabama </v>
      </c>
      <c r="AB35" s="13">
        <f t="shared" ca="1" si="14"/>
        <v>12</v>
      </c>
      <c r="AC35" s="12" t="str">
        <f t="shared" ca="1" si="15"/>
        <v>Michigan</v>
      </c>
      <c r="AD35" s="13">
        <f t="shared" ca="1" si="16"/>
        <v>21</v>
      </c>
      <c r="AE35" s="12" t="str">
        <f t="shared" ca="1" si="17"/>
        <v xml:space="preserve">Alabama </v>
      </c>
      <c r="AF35" s="13">
        <f t="shared" ca="1" si="18"/>
        <v>31</v>
      </c>
      <c r="AG35" s="12" t="str">
        <f t="shared" ca="1" si="19"/>
        <v xml:space="preserve">Alabama </v>
      </c>
      <c r="AH35" s="13">
        <f t="shared" ca="1" si="20"/>
        <v>37</v>
      </c>
    </row>
    <row r="36" spans="1:34" ht="15" hidden="1" thickTop="1" x14ac:dyDescent="0.35">
      <c r="A36" s="4">
        <v>43831</v>
      </c>
      <c r="B36" s="5" t="s">
        <v>104</v>
      </c>
      <c r="C36" s="12" t="s">
        <v>105</v>
      </c>
      <c r="D36" s="13" t="s">
        <v>106</v>
      </c>
      <c r="E36" s="12" t="str">
        <f t="shared" ca="1" si="0"/>
        <v>Minnesota</v>
      </c>
      <c r="F36" s="13">
        <f t="shared" ca="1" si="1"/>
        <v>5</v>
      </c>
      <c r="G36" s="12" t="str">
        <f t="shared" ca="1" si="2"/>
        <v xml:space="preserve">Auburn </v>
      </c>
      <c r="H36" s="13">
        <f t="shared" ca="1" si="21"/>
        <v>26</v>
      </c>
      <c r="I36" s="12" t="str">
        <f t="shared" ca="1" si="22"/>
        <v xml:space="preserve">Auburn </v>
      </c>
      <c r="J36" s="13">
        <f t="shared" ca="1" si="23"/>
        <v>39</v>
      </c>
      <c r="K36" s="12" t="str">
        <f t="shared" ca="1" si="3"/>
        <v xml:space="preserve">Auburn </v>
      </c>
      <c r="L36" s="13">
        <f t="shared" ca="1" si="24"/>
        <v>34</v>
      </c>
      <c r="M36" s="12" t="str">
        <f t="shared" ca="1" si="4"/>
        <v xml:space="preserve">Auburn </v>
      </c>
      <c r="N36" s="13">
        <f t="shared" ca="1" si="25"/>
        <v>27</v>
      </c>
      <c r="O36" s="12" t="str">
        <f t="shared" ca="1" si="5"/>
        <v xml:space="preserve">Auburn </v>
      </c>
      <c r="P36" s="13">
        <f t="shared" ca="1" si="26"/>
        <v>38</v>
      </c>
      <c r="Q36" s="12" t="str">
        <f t="shared" ca="1" si="6"/>
        <v xml:space="preserve">Auburn </v>
      </c>
      <c r="R36" s="13">
        <f t="shared" ca="1" si="27"/>
        <v>39</v>
      </c>
      <c r="S36" s="12" t="str">
        <f t="shared" ca="1" si="7"/>
        <v>Minnesota</v>
      </c>
      <c r="T36" s="13">
        <f t="shared" ca="1" si="28"/>
        <v>2</v>
      </c>
      <c r="U36" s="12" t="str">
        <f t="shared" ca="1" si="8"/>
        <v>Minnesota</v>
      </c>
      <c r="V36" s="13">
        <f t="shared" ca="1" si="29"/>
        <v>22</v>
      </c>
      <c r="W36" s="12" t="str">
        <f t="shared" ca="1" si="9"/>
        <v>Minnesota</v>
      </c>
      <c r="X36" s="13">
        <f t="shared" ca="1" si="10"/>
        <v>27</v>
      </c>
      <c r="Y36" s="12" t="str">
        <f t="shared" ca="1" si="11"/>
        <v>Minnesota</v>
      </c>
      <c r="Z36" s="13">
        <f t="shared" ca="1" si="12"/>
        <v>14</v>
      </c>
      <c r="AA36" s="12" t="str">
        <f t="shared" ca="1" si="13"/>
        <v xml:space="preserve">Auburn </v>
      </c>
      <c r="AB36" s="13">
        <f t="shared" ca="1" si="14"/>
        <v>19</v>
      </c>
      <c r="AC36" s="12" t="str">
        <f t="shared" ca="1" si="15"/>
        <v>Minnesota</v>
      </c>
      <c r="AD36" s="13">
        <f t="shared" ca="1" si="16"/>
        <v>27</v>
      </c>
      <c r="AE36" s="12" t="str">
        <f t="shared" ca="1" si="17"/>
        <v>Minnesota</v>
      </c>
      <c r="AF36" s="13">
        <f t="shared" ca="1" si="18"/>
        <v>16</v>
      </c>
      <c r="AG36" s="12" t="str">
        <f t="shared" ca="1" si="19"/>
        <v xml:space="preserve">Auburn </v>
      </c>
      <c r="AH36" s="13">
        <f t="shared" ca="1" si="20"/>
        <v>15</v>
      </c>
    </row>
    <row r="37" spans="1:34" ht="15" hidden="1" thickTop="1" x14ac:dyDescent="0.35">
      <c r="A37" s="4">
        <v>43831</v>
      </c>
      <c r="B37" s="5" t="s">
        <v>107</v>
      </c>
      <c r="C37" s="12" t="s">
        <v>108</v>
      </c>
      <c r="D37" s="13" t="s">
        <v>109</v>
      </c>
      <c r="E37" s="12" t="str">
        <f t="shared" ca="1" si="0"/>
        <v xml:space="preserve">Oregon </v>
      </c>
      <c r="F37" s="13">
        <f t="shared" ca="1" si="1"/>
        <v>16</v>
      </c>
      <c r="G37" s="12" t="str">
        <f t="shared" ca="1" si="2"/>
        <v>Wisconsin</v>
      </c>
      <c r="H37" s="13">
        <f t="shared" ca="1" si="21"/>
        <v>7</v>
      </c>
      <c r="I37" s="12" t="str">
        <f t="shared" ca="1" si="22"/>
        <v>Wisconsin</v>
      </c>
      <c r="J37" s="13">
        <f t="shared" ca="1" si="23"/>
        <v>27</v>
      </c>
      <c r="K37" s="12" t="str">
        <f t="shared" ca="1" si="3"/>
        <v xml:space="preserve">Oregon </v>
      </c>
      <c r="L37" s="13">
        <f t="shared" ca="1" si="24"/>
        <v>2</v>
      </c>
      <c r="M37" s="12" t="str">
        <f t="shared" ca="1" si="4"/>
        <v>Wisconsin</v>
      </c>
      <c r="N37" s="13">
        <f t="shared" ca="1" si="25"/>
        <v>15</v>
      </c>
      <c r="O37" s="12" t="str">
        <f t="shared" ca="1" si="5"/>
        <v>Wisconsin</v>
      </c>
      <c r="P37" s="13">
        <f t="shared" ca="1" si="26"/>
        <v>10</v>
      </c>
      <c r="Q37" s="12" t="str">
        <f t="shared" ca="1" si="6"/>
        <v>Wisconsin</v>
      </c>
      <c r="R37" s="13">
        <f t="shared" ca="1" si="27"/>
        <v>33</v>
      </c>
      <c r="S37" s="12" t="str">
        <f t="shared" ca="1" si="7"/>
        <v>Wisconsin</v>
      </c>
      <c r="T37" s="13">
        <f t="shared" ca="1" si="28"/>
        <v>9</v>
      </c>
      <c r="U37" s="12" t="str">
        <f t="shared" ca="1" si="8"/>
        <v>Wisconsin</v>
      </c>
      <c r="V37" s="13">
        <f t="shared" ca="1" si="29"/>
        <v>3</v>
      </c>
      <c r="W37" s="12" t="str">
        <f t="shared" ca="1" si="9"/>
        <v xml:space="preserve">Oregon </v>
      </c>
      <c r="X37" s="13">
        <f t="shared" ca="1" si="10"/>
        <v>34</v>
      </c>
      <c r="Y37" s="12" t="str">
        <f t="shared" ca="1" si="11"/>
        <v>Wisconsin</v>
      </c>
      <c r="Z37" s="13">
        <f t="shared" ca="1" si="12"/>
        <v>15</v>
      </c>
      <c r="AA37" s="12" t="str">
        <f t="shared" ca="1" si="13"/>
        <v>Wisconsin</v>
      </c>
      <c r="AB37" s="13">
        <f t="shared" ca="1" si="14"/>
        <v>22</v>
      </c>
      <c r="AC37" s="12" t="str">
        <f t="shared" ca="1" si="15"/>
        <v>Wisconsin</v>
      </c>
      <c r="AD37" s="13">
        <f t="shared" ca="1" si="16"/>
        <v>32</v>
      </c>
      <c r="AE37" s="12" t="str">
        <f t="shared" ca="1" si="17"/>
        <v>Wisconsin</v>
      </c>
      <c r="AF37" s="13">
        <f t="shared" ca="1" si="18"/>
        <v>21</v>
      </c>
      <c r="AG37" s="12" t="str">
        <f t="shared" ca="1" si="19"/>
        <v>Wisconsin</v>
      </c>
      <c r="AH37" s="13">
        <f t="shared" ca="1" si="20"/>
        <v>3</v>
      </c>
    </row>
    <row r="38" spans="1:34" ht="15" hidden="1" thickTop="1" x14ac:dyDescent="0.35">
      <c r="A38" s="4">
        <v>43831</v>
      </c>
      <c r="B38" s="5" t="s">
        <v>110</v>
      </c>
      <c r="C38" s="12" t="s">
        <v>111</v>
      </c>
      <c r="D38" s="13" t="s">
        <v>112</v>
      </c>
      <c r="E38" s="12" t="str">
        <f t="shared" ca="1" si="0"/>
        <v>Baylor</v>
      </c>
      <c r="F38" s="13">
        <f t="shared" ca="1" si="1"/>
        <v>10</v>
      </c>
      <c r="G38" s="12" t="str">
        <f t="shared" ca="1" si="2"/>
        <v xml:space="preserve">Georgia </v>
      </c>
      <c r="H38" s="13">
        <f t="shared" ca="1" si="21"/>
        <v>19</v>
      </c>
      <c r="I38" s="12" t="str">
        <f t="shared" ca="1" si="22"/>
        <v xml:space="preserve">Georgia </v>
      </c>
      <c r="J38" s="13">
        <f t="shared" ca="1" si="23"/>
        <v>34</v>
      </c>
      <c r="K38" s="12" t="str">
        <f t="shared" ca="1" si="3"/>
        <v>Baylor</v>
      </c>
      <c r="L38" s="13">
        <f t="shared" ca="1" si="24"/>
        <v>3</v>
      </c>
      <c r="M38" s="12" t="str">
        <f t="shared" ca="1" si="4"/>
        <v xml:space="preserve">Georgia </v>
      </c>
      <c r="N38" s="13">
        <f t="shared" ca="1" si="25"/>
        <v>22</v>
      </c>
      <c r="O38" s="12" t="str">
        <f t="shared" ca="1" si="5"/>
        <v xml:space="preserve">Georgia </v>
      </c>
      <c r="P38" s="13">
        <f t="shared" ca="1" si="26"/>
        <v>34</v>
      </c>
      <c r="Q38" s="12" t="str">
        <f t="shared" ca="1" si="6"/>
        <v xml:space="preserve">Georgia </v>
      </c>
      <c r="R38" s="13">
        <f t="shared" ca="1" si="27"/>
        <v>36</v>
      </c>
      <c r="S38" s="12" t="str">
        <f t="shared" ca="1" si="7"/>
        <v xml:space="preserve">Georgia </v>
      </c>
      <c r="T38" s="13">
        <f t="shared" ca="1" si="28"/>
        <v>18</v>
      </c>
      <c r="U38" s="12" t="str">
        <f t="shared" ca="1" si="8"/>
        <v xml:space="preserve">Georgia </v>
      </c>
      <c r="V38" s="13">
        <f t="shared" ca="1" si="29"/>
        <v>20</v>
      </c>
      <c r="W38" s="12" t="str">
        <f t="shared" ca="1" si="9"/>
        <v xml:space="preserve">Georgia </v>
      </c>
      <c r="X38" s="13">
        <f t="shared" ca="1" si="10"/>
        <v>28</v>
      </c>
      <c r="Y38" s="12" t="str">
        <f t="shared" ca="1" si="11"/>
        <v>Baylor</v>
      </c>
      <c r="Z38" s="13">
        <f t="shared" ca="1" si="12"/>
        <v>1</v>
      </c>
      <c r="AA38" s="12" t="str">
        <f t="shared" ca="1" si="13"/>
        <v xml:space="preserve">Georgia </v>
      </c>
      <c r="AB38" s="13">
        <f t="shared" ca="1" si="14"/>
        <v>13</v>
      </c>
      <c r="AC38" s="12" t="str">
        <f t="shared" ca="1" si="15"/>
        <v xml:space="preserve">Georgia </v>
      </c>
      <c r="AD38" s="13">
        <f t="shared" ca="1" si="16"/>
        <v>37</v>
      </c>
      <c r="AE38" s="12" t="str">
        <f t="shared" ca="1" si="17"/>
        <v>Baylor</v>
      </c>
      <c r="AF38" s="13">
        <f t="shared" ca="1" si="18"/>
        <v>22</v>
      </c>
      <c r="AG38" s="12" t="str">
        <f t="shared" ca="1" si="19"/>
        <v xml:space="preserve">Georgia </v>
      </c>
      <c r="AH38" s="13">
        <f t="shared" ca="1" si="20"/>
        <v>2</v>
      </c>
    </row>
    <row r="39" spans="1:34" ht="15" hidden="1" thickTop="1" x14ac:dyDescent="0.35">
      <c r="A39" s="4">
        <v>43832</v>
      </c>
      <c r="B39" s="5" t="s">
        <v>113</v>
      </c>
      <c r="C39" s="12" t="s">
        <v>114</v>
      </c>
      <c r="D39" s="13" t="s">
        <v>115</v>
      </c>
      <c r="E39" s="12" t="str">
        <f t="shared" ca="1" si="0"/>
        <v>Cincinnati</v>
      </c>
      <c r="F39" s="13">
        <f t="shared" ca="1" si="1"/>
        <v>40</v>
      </c>
      <c r="G39" s="12" t="str">
        <f t="shared" ca="1" si="2"/>
        <v>Cincinnati</v>
      </c>
      <c r="H39" s="13">
        <f t="shared" ca="1" si="21"/>
        <v>33</v>
      </c>
      <c r="I39" s="12" t="str">
        <f t="shared" ca="1" si="22"/>
        <v>Cincinnati</v>
      </c>
      <c r="J39" s="13">
        <f t="shared" ca="1" si="23"/>
        <v>21</v>
      </c>
      <c r="K39" s="12" t="str">
        <f t="shared" ca="1" si="3"/>
        <v xml:space="preserve">Boston College </v>
      </c>
      <c r="L39" s="13">
        <f t="shared" ca="1" si="24"/>
        <v>4</v>
      </c>
      <c r="M39" s="12" t="str">
        <f t="shared" ca="1" si="4"/>
        <v>Cincinnati</v>
      </c>
      <c r="N39" s="13">
        <f t="shared" ca="1" si="25"/>
        <v>39</v>
      </c>
      <c r="O39" s="12" t="str">
        <f t="shared" ca="1" si="5"/>
        <v>Cincinnati</v>
      </c>
      <c r="P39" s="13">
        <f t="shared" ca="1" si="26"/>
        <v>26</v>
      </c>
      <c r="Q39" s="12" t="str">
        <f t="shared" ca="1" si="6"/>
        <v>Cincinnati</v>
      </c>
      <c r="R39" s="13">
        <f t="shared" ca="1" si="27"/>
        <v>25</v>
      </c>
      <c r="S39" s="12" t="str">
        <f t="shared" ca="1" si="7"/>
        <v>Cincinnati</v>
      </c>
      <c r="T39" s="13">
        <f t="shared" ca="1" si="28"/>
        <v>35</v>
      </c>
      <c r="U39" s="12" t="str">
        <f t="shared" ca="1" si="8"/>
        <v>Cincinnati</v>
      </c>
      <c r="V39" s="13">
        <f t="shared" ca="1" si="29"/>
        <v>34</v>
      </c>
      <c r="W39" s="12" t="str">
        <f t="shared" ca="1" si="9"/>
        <v>Cincinnati</v>
      </c>
      <c r="X39" s="13">
        <f t="shared" ca="1" si="10"/>
        <v>26</v>
      </c>
      <c r="Y39" s="12" t="str">
        <f t="shared" ca="1" si="11"/>
        <v>Cincinnati</v>
      </c>
      <c r="Z39" s="13">
        <f t="shared" ca="1" si="12"/>
        <v>16</v>
      </c>
      <c r="AA39" s="12" t="str">
        <f t="shared" ca="1" si="13"/>
        <v>Cincinnati</v>
      </c>
      <c r="AB39" s="13">
        <f t="shared" ca="1" si="14"/>
        <v>14</v>
      </c>
      <c r="AC39" s="12" t="str">
        <f t="shared" ca="1" si="15"/>
        <v>Cincinnati</v>
      </c>
      <c r="AD39" s="13">
        <f t="shared" ca="1" si="16"/>
        <v>36</v>
      </c>
      <c r="AE39" s="12" t="str">
        <f t="shared" ca="1" si="17"/>
        <v>Cincinnati</v>
      </c>
      <c r="AF39" s="13">
        <f t="shared" ca="1" si="18"/>
        <v>29</v>
      </c>
      <c r="AG39" s="12" t="str">
        <f t="shared" ca="1" si="19"/>
        <v>Cincinnati</v>
      </c>
      <c r="AH39" s="13">
        <f t="shared" ca="1" si="20"/>
        <v>33</v>
      </c>
    </row>
    <row r="40" spans="1:34" ht="15" hidden="1" thickTop="1" x14ac:dyDescent="0.35">
      <c r="A40" s="4">
        <v>43832</v>
      </c>
      <c r="B40" s="5" t="s">
        <v>116</v>
      </c>
      <c r="C40" s="12" t="s">
        <v>117</v>
      </c>
      <c r="D40" s="13" t="s">
        <v>118</v>
      </c>
      <c r="E40" s="12" t="str">
        <f t="shared" ca="1" si="0"/>
        <v xml:space="preserve">Tennessee </v>
      </c>
      <c r="F40" s="13">
        <f t="shared" ca="1" si="1"/>
        <v>11</v>
      </c>
      <c r="G40" s="12" t="str">
        <f t="shared" ca="1" si="2"/>
        <v xml:space="preserve">Tennessee </v>
      </c>
      <c r="H40" s="13">
        <f t="shared" ca="1" si="21"/>
        <v>2</v>
      </c>
      <c r="I40" s="12" t="str">
        <f t="shared" ca="1" si="22"/>
        <v xml:space="preserve">Tennessee </v>
      </c>
      <c r="J40" s="13">
        <f t="shared" ca="1" si="23"/>
        <v>23</v>
      </c>
      <c r="K40" s="12" t="str">
        <f t="shared" ca="1" si="3"/>
        <v>Indiana</v>
      </c>
      <c r="L40" s="13">
        <f t="shared" ca="1" si="24"/>
        <v>5</v>
      </c>
      <c r="M40" s="12" t="str">
        <f t="shared" ca="1" si="4"/>
        <v xml:space="preserve">Tennessee </v>
      </c>
      <c r="N40" s="13">
        <f t="shared" ca="1" si="25"/>
        <v>24</v>
      </c>
      <c r="O40" s="12" t="str">
        <f t="shared" ca="1" si="5"/>
        <v xml:space="preserve">Tennessee </v>
      </c>
      <c r="P40" s="13">
        <f t="shared" ca="1" si="26"/>
        <v>30</v>
      </c>
      <c r="Q40" s="12" t="str">
        <f t="shared" ca="1" si="6"/>
        <v>Indiana</v>
      </c>
      <c r="R40" s="13">
        <f t="shared" ca="1" si="27"/>
        <v>26</v>
      </c>
      <c r="S40" s="12" t="str">
        <f t="shared" ca="1" si="7"/>
        <v xml:space="preserve">Tennessee </v>
      </c>
      <c r="T40" s="13">
        <f t="shared" ca="1" si="28"/>
        <v>11</v>
      </c>
      <c r="U40" s="12" t="str">
        <f t="shared" ca="1" si="8"/>
        <v xml:space="preserve">Tennessee </v>
      </c>
      <c r="V40" s="13">
        <f t="shared" ca="1" si="29"/>
        <v>15</v>
      </c>
      <c r="W40" s="12" t="str">
        <f t="shared" ca="1" si="9"/>
        <v>Indiana</v>
      </c>
      <c r="X40" s="13">
        <f t="shared" ca="1" si="10"/>
        <v>23</v>
      </c>
      <c r="Y40" s="12" t="str">
        <f t="shared" ca="1" si="11"/>
        <v xml:space="preserve">Tennessee </v>
      </c>
      <c r="Z40" s="13">
        <f t="shared" ca="1" si="12"/>
        <v>17</v>
      </c>
      <c r="AA40" s="12" t="str">
        <f t="shared" ca="1" si="13"/>
        <v xml:space="preserve">Tennessee </v>
      </c>
      <c r="AB40" s="13">
        <f t="shared" ca="1" si="14"/>
        <v>15</v>
      </c>
      <c r="AC40" s="12" t="str">
        <f t="shared" ca="1" si="15"/>
        <v>Indiana</v>
      </c>
      <c r="AD40" s="13">
        <f t="shared" ca="1" si="16"/>
        <v>23</v>
      </c>
      <c r="AE40" s="12" t="str">
        <f t="shared" ca="1" si="17"/>
        <v xml:space="preserve">Tennessee </v>
      </c>
      <c r="AF40" s="13">
        <f t="shared" ca="1" si="18"/>
        <v>23</v>
      </c>
      <c r="AG40" s="12" t="str">
        <f t="shared" ca="1" si="19"/>
        <v>Indiana</v>
      </c>
      <c r="AH40" s="13">
        <f t="shared" ca="1" si="20"/>
        <v>35</v>
      </c>
    </row>
    <row r="41" spans="1:34" ht="15" hidden="1" thickTop="1" x14ac:dyDescent="0.35">
      <c r="A41" s="4">
        <v>43833</v>
      </c>
      <c r="B41" s="5" t="s">
        <v>119</v>
      </c>
      <c r="C41" s="12" t="s">
        <v>120</v>
      </c>
      <c r="D41" s="13" t="s">
        <v>121</v>
      </c>
      <c r="E41" s="12" t="str">
        <f t="shared" ca="1" si="0"/>
        <v xml:space="preserve">Ohio </v>
      </c>
      <c r="F41" s="13">
        <f t="shared" ca="1" si="1"/>
        <v>17</v>
      </c>
      <c r="G41" s="12" t="str">
        <f t="shared" ca="1" si="2"/>
        <v xml:space="preserve">Ohio </v>
      </c>
      <c r="H41" s="13">
        <f t="shared" ca="1" si="21"/>
        <v>30</v>
      </c>
      <c r="I41" s="12" t="str">
        <f t="shared" ca="1" si="22"/>
        <v xml:space="preserve">Ohio </v>
      </c>
      <c r="J41" s="13">
        <f t="shared" ca="1" si="23"/>
        <v>20</v>
      </c>
      <c r="K41" s="12" t="str">
        <f t="shared" ca="1" si="3"/>
        <v xml:space="preserve">Ohio </v>
      </c>
      <c r="L41" s="13">
        <f t="shared" ca="1" si="24"/>
        <v>6</v>
      </c>
      <c r="M41" s="12" t="str">
        <f t="shared" ca="1" si="4"/>
        <v xml:space="preserve">Ohio </v>
      </c>
      <c r="N41" s="13">
        <f t="shared" ca="1" si="25"/>
        <v>16</v>
      </c>
      <c r="O41" s="12" t="str">
        <f t="shared" ca="1" si="5"/>
        <v>Nevada</v>
      </c>
      <c r="P41" s="13">
        <f t="shared" ca="1" si="26"/>
        <v>23</v>
      </c>
      <c r="Q41" s="12" t="str">
        <f t="shared" ca="1" si="6"/>
        <v xml:space="preserve">Ohio </v>
      </c>
      <c r="R41" s="13">
        <f t="shared" ca="1" si="27"/>
        <v>7</v>
      </c>
      <c r="S41" s="12" t="str">
        <f t="shared" ca="1" si="7"/>
        <v xml:space="preserve">Ohio </v>
      </c>
      <c r="T41" s="13">
        <f t="shared" ca="1" si="28"/>
        <v>23</v>
      </c>
      <c r="U41" s="12" t="str">
        <f t="shared" ca="1" si="8"/>
        <v>Nevada</v>
      </c>
      <c r="V41" s="13">
        <f t="shared" ca="1" si="29"/>
        <v>28</v>
      </c>
      <c r="W41" s="12" t="str">
        <f t="shared" ca="1" si="9"/>
        <v xml:space="preserve">Ohio </v>
      </c>
      <c r="X41" s="13">
        <f t="shared" ca="1" si="10"/>
        <v>24</v>
      </c>
      <c r="Y41" s="12" t="str">
        <f t="shared" ca="1" si="11"/>
        <v>Nevada</v>
      </c>
      <c r="Z41" s="13">
        <f t="shared" ca="1" si="12"/>
        <v>27</v>
      </c>
      <c r="AA41" s="12" t="str">
        <f t="shared" ca="1" si="13"/>
        <v>Nevada</v>
      </c>
      <c r="AB41" s="13">
        <f t="shared" ca="1" si="14"/>
        <v>16</v>
      </c>
      <c r="AC41" s="12" t="str">
        <f t="shared" ca="1" si="15"/>
        <v xml:space="preserve">Ohio </v>
      </c>
      <c r="AD41" s="13">
        <f t="shared" ca="1" si="16"/>
        <v>31</v>
      </c>
      <c r="AE41" s="12" t="str">
        <f t="shared" ca="1" si="17"/>
        <v xml:space="preserve">Ohio </v>
      </c>
      <c r="AF41" s="13">
        <f t="shared" ca="1" si="18"/>
        <v>17</v>
      </c>
      <c r="AG41" s="12" t="str">
        <f t="shared" ca="1" si="19"/>
        <v>Nevada</v>
      </c>
      <c r="AH41" s="13">
        <f t="shared" ca="1" si="20"/>
        <v>27</v>
      </c>
    </row>
    <row r="42" spans="1:34" ht="15" hidden="1" thickTop="1" x14ac:dyDescent="0.35">
      <c r="A42" s="4">
        <v>43834</v>
      </c>
      <c r="B42" s="5" t="s">
        <v>122</v>
      </c>
      <c r="C42" s="12" t="s">
        <v>123</v>
      </c>
      <c r="D42" s="13" t="s">
        <v>124</v>
      </c>
      <c r="E42" s="12" t="str">
        <f t="shared" ca="1" si="0"/>
        <v xml:space="preserve">Tulane </v>
      </c>
      <c r="F42" s="13">
        <f t="shared" ca="1" si="1"/>
        <v>13</v>
      </c>
      <c r="G42" s="12" t="str">
        <f t="shared" ca="1" si="2"/>
        <v xml:space="preserve">Tulane </v>
      </c>
      <c r="H42" s="13">
        <f t="shared" ca="1" si="21"/>
        <v>32</v>
      </c>
      <c r="I42" s="12" t="str">
        <f t="shared" ca="1" si="22"/>
        <v xml:space="preserve">Tulane </v>
      </c>
      <c r="J42" s="13">
        <f t="shared" ca="1" si="23"/>
        <v>24</v>
      </c>
      <c r="K42" s="12" t="str">
        <f t="shared" ca="1" si="3"/>
        <v xml:space="preserve">Tulane </v>
      </c>
      <c r="L42" s="13">
        <f t="shared" ca="1" si="24"/>
        <v>16</v>
      </c>
      <c r="M42" s="12" t="str">
        <f t="shared" ca="1" si="4"/>
        <v>Southern Miss</v>
      </c>
      <c r="N42" s="13">
        <f t="shared" ca="1" si="25"/>
        <v>13</v>
      </c>
      <c r="O42" s="12" t="str">
        <f t="shared" ca="1" si="5"/>
        <v xml:space="preserve">Tulane </v>
      </c>
      <c r="P42" s="13">
        <f t="shared" ca="1" si="26"/>
        <v>24</v>
      </c>
      <c r="Q42" s="12" t="str">
        <f t="shared" ca="1" si="6"/>
        <v>Southern Miss</v>
      </c>
      <c r="R42" s="13">
        <f t="shared" ca="1" si="27"/>
        <v>8</v>
      </c>
      <c r="S42" s="12" t="str">
        <f t="shared" ca="1" si="7"/>
        <v xml:space="preserve">Tulane </v>
      </c>
      <c r="T42" s="13">
        <f t="shared" ca="1" si="28"/>
        <v>28</v>
      </c>
      <c r="U42" s="12" t="str">
        <f t="shared" ca="1" si="8"/>
        <v xml:space="preserve">Tulane </v>
      </c>
      <c r="V42" s="13">
        <f t="shared" ca="1" si="29"/>
        <v>31</v>
      </c>
      <c r="W42" s="12" t="str">
        <f t="shared" ca="1" si="9"/>
        <v xml:space="preserve">Tulane </v>
      </c>
      <c r="X42" s="13">
        <f t="shared" ca="1" si="10"/>
        <v>29</v>
      </c>
      <c r="Y42" s="12" t="str">
        <f t="shared" ca="1" si="11"/>
        <v>Southern Miss</v>
      </c>
      <c r="Z42" s="13">
        <f t="shared" ca="1" si="12"/>
        <v>26</v>
      </c>
      <c r="AA42" s="12" t="str">
        <f t="shared" ca="1" si="13"/>
        <v xml:space="preserve">Tulane </v>
      </c>
      <c r="AB42" s="13">
        <f t="shared" ca="1" si="14"/>
        <v>17</v>
      </c>
      <c r="AC42" s="12" t="str">
        <f t="shared" ca="1" si="15"/>
        <v xml:space="preserve">Tulane </v>
      </c>
      <c r="AD42" s="13">
        <f t="shared" ca="1" si="16"/>
        <v>3</v>
      </c>
      <c r="AE42" s="12" t="str">
        <f t="shared" ca="1" si="17"/>
        <v xml:space="preserve">Tulane </v>
      </c>
      <c r="AF42" s="13">
        <f t="shared" ca="1" si="18"/>
        <v>14</v>
      </c>
      <c r="AG42" s="12" t="str">
        <f t="shared" ca="1" si="19"/>
        <v>Southern Miss</v>
      </c>
      <c r="AH42" s="13">
        <f t="shared" ca="1" si="20"/>
        <v>8</v>
      </c>
    </row>
    <row r="43" spans="1:34" ht="15.5" hidden="1" thickTop="1" thickBot="1" x14ac:dyDescent="0.4">
      <c r="A43" s="15">
        <v>43836</v>
      </c>
      <c r="B43" s="16" t="s">
        <v>125</v>
      </c>
      <c r="C43" s="17" t="s">
        <v>126</v>
      </c>
      <c r="D43" s="18" t="s">
        <v>127</v>
      </c>
      <c r="E43" s="17" t="str">
        <f t="shared" ca="1" si="0"/>
        <v xml:space="preserve">Louisiana </v>
      </c>
      <c r="F43" s="13">
        <f t="shared" ca="1" si="1"/>
        <v>26</v>
      </c>
      <c r="G43" s="17" t="str">
        <f t="shared" ca="1" si="2"/>
        <v xml:space="preserve">Louisiana </v>
      </c>
      <c r="H43" s="13">
        <f t="shared" ca="1" si="21"/>
        <v>34</v>
      </c>
      <c r="I43" s="17" t="str">
        <f t="shared" ca="1" si="22"/>
        <v>Miami(OH)</v>
      </c>
      <c r="J43" s="13">
        <f t="shared" ca="1" si="23"/>
        <v>6</v>
      </c>
      <c r="K43" s="17" t="str">
        <f t="shared" ca="1" si="3"/>
        <v xml:space="preserve">Louisiana </v>
      </c>
      <c r="L43" s="18">
        <f t="shared" ca="1" si="24"/>
        <v>35</v>
      </c>
      <c r="M43" s="17" t="str">
        <f t="shared" ca="1" si="4"/>
        <v xml:space="preserve">Louisiana </v>
      </c>
      <c r="N43" s="18">
        <f t="shared" ca="1" si="25"/>
        <v>32</v>
      </c>
      <c r="O43" s="17" t="str">
        <f t="shared" ca="1" si="5"/>
        <v xml:space="preserve">Louisiana </v>
      </c>
      <c r="P43" s="18">
        <f t="shared" ca="1" si="26"/>
        <v>17</v>
      </c>
      <c r="Q43" s="17" t="str">
        <f t="shared" ca="1" si="6"/>
        <v>Miami(OH)</v>
      </c>
      <c r="R43" s="18">
        <f t="shared" ca="1" si="27"/>
        <v>11</v>
      </c>
      <c r="S43" s="17" t="str">
        <f t="shared" ca="1" si="7"/>
        <v xml:space="preserve">Louisiana </v>
      </c>
      <c r="T43" s="18">
        <f t="shared" ca="1" si="28"/>
        <v>34</v>
      </c>
      <c r="U43" s="17" t="str">
        <f t="shared" ca="1" si="8"/>
        <v xml:space="preserve">Louisiana </v>
      </c>
      <c r="V43" s="18">
        <f t="shared" ca="1" si="29"/>
        <v>25</v>
      </c>
      <c r="W43" s="17" t="str">
        <f t="shared" ca="1" si="9"/>
        <v>Miami(OH)</v>
      </c>
      <c r="X43" s="18">
        <f t="shared" ca="1" si="10"/>
        <v>33</v>
      </c>
      <c r="Y43" s="17" t="str">
        <f t="shared" ca="1" si="11"/>
        <v>Miami(OH)</v>
      </c>
      <c r="Z43" s="18">
        <f t="shared" ca="1" si="12"/>
        <v>18</v>
      </c>
      <c r="AA43" s="17" t="str">
        <f t="shared" ca="1" si="13"/>
        <v xml:space="preserve">Louisiana </v>
      </c>
      <c r="AB43" s="18">
        <f t="shared" ca="1" si="14"/>
        <v>18</v>
      </c>
      <c r="AC43" s="17" t="str">
        <f t="shared" ca="1" si="15"/>
        <v>Miami(OH)</v>
      </c>
      <c r="AD43" s="18">
        <f t="shared" ca="1" si="16"/>
        <v>40</v>
      </c>
      <c r="AE43" s="17" t="str">
        <f t="shared" ca="1" si="17"/>
        <v>Miami(OH)</v>
      </c>
      <c r="AF43" s="18">
        <f t="shared" ca="1" si="18"/>
        <v>13</v>
      </c>
      <c r="AG43" s="17" t="str">
        <f t="shared" ca="1" si="19"/>
        <v xml:space="preserve">Louisiana </v>
      </c>
      <c r="AH43" s="18">
        <f t="shared" ca="1" si="20"/>
        <v>13</v>
      </c>
    </row>
    <row r="44" spans="1:34" ht="15" thickTop="1" x14ac:dyDescent="0.35"/>
  </sheetData>
  <autoFilter ref="A3:AH43" xr:uid="{2F43C68E-3C2E-40D7-98ED-F440321967BB}">
    <filterColumn colId="0">
      <dynamicFilter type="today" val="43835" maxVal="43836"/>
    </filterColumn>
    <filterColumn colId="2" showButton="0"/>
    <filterColumn colId="4" showButton="0"/>
    <filterColumn colId="6" showButton="0"/>
    <filterColumn colId="8" showButton="0"/>
    <filterColumn colId="10" showButton="0"/>
    <filterColumn colId="12" showButton="0"/>
    <filterColumn colId="14" showButton="0"/>
    <filterColumn colId="16" showButton="0"/>
    <filterColumn colId="18" showButton="0"/>
    <filterColumn colId="20" showButton="0"/>
    <filterColumn colId="22" showButton="0"/>
    <filterColumn colId="24" showButton="0"/>
    <filterColumn colId="26" showButton="0"/>
    <filterColumn colId="28" showButton="0"/>
    <filterColumn colId="30" showButton="0"/>
    <filterColumn colId="32" showButton="0"/>
  </autoFilter>
  <mergeCells count="16">
    <mergeCell ref="AA3:AB3"/>
    <mergeCell ref="AC3:AD3"/>
    <mergeCell ref="AE3:AF3"/>
    <mergeCell ref="AG3:AH3"/>
    <mergeCell ref="O3:P3"/>
    <mergeCell ref="Q3:R3"/>
    <mergeCell ref="S3:T3"/>
    <mergeCell ref="U3:V3"/>
    <mergeCell ref="W3:X3"/>
    <mergeCell ref="Y3:Z3"/>
    <mergeCell ref="M3:N3"/>
    <mergeCell ref="C3:D3"/>
    <mergeCell ref="E3:F3"/>
    <mergeCell ref="G3:H3"/>
    <mergeCell ref="I3:J3"/>
    <mergeCell ref="K3:L3"/>
  </mergeCells>
  <pageMargins left="0.7" right="0.7" top="0.75" bottom="0.75" header="0.3" footer="0.3"/>
  <pageSetup orientation="portrait" horizontalDpi="4294967295" verticalDpi="4294967295"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4432A-41C6-4BBD-A395-CC3309C2CE49}">
  <sheetPr codeName="Sheet6" filterMode="1"/>
  <dimension ref="A1:AH43"/>
  <sheetViews>
    <sheetView showGridLines="0" workbookViewId="0"/>
  </sheetViews>
  <sheetFormatPr defaultRowHeight="14.5" x14ac:dyDescent="0.35"/>
  <cols>
    <col min="1" max="1" width="11.54296875" bestFit="1" customWidth="1"/>
    <col min="2" max="2" width="18.54296875" bestFit="1" customWidth="1"/>
    <col min="3" max="3" width="16.36328125" hidden="1" customWidth="1"/>
    <col min="4" max="4" width="17.1796875" hidden="1" customWidth="1"/>
    <col min="5" max="5" width="19.1796875" style="26" customWidth="1"/>
    <col min="6" max="6" width="3.1796875" style="26" customWidth="1"/>
    <col min="7" max="7" width="19.1796875" style="26" customWidth="1"/>
    <col min="8" max="8" width="3.1796875" style="26" customWidth="1"/>
    <col min="9" max="9" width="19.1796875" style="26" customWidth="1"/>
    <col min="10" max="10" width="3.1796875" style="26" customWidth="1"/>
    <col min="11" max="11" width="19.1796875" style="26" customWidth="1"/>
    <col min="12" max="12" width="3.1796875" style="26" customWidth="1"/>
    <col min="13" max="13" width="19.1796875" style="26" customWidth="1"/>
    <col min="14" max="14" width="3.1796875" style="26" customWidth="1"/>
    <col min="15" max="15" width="19.1796875" style="26" customWidth="1"/>
    <col min="16" max="16" width="3.1796875" style="26" customWidth="1"/>
    <col min="17" max="17" width="19.1796875" style="26" customWidth="1"/>
    <col min="18" max="18" width="3.1796875" style="26" customWidth="1"/>
    <col min="19" max="19" width="19.1796875" style="26" customWidth="1"/>
    <col min="20" max="20" width="3.1796875" style="26" customWidth="1"/>
    <col min="21" max="21" width="19.1796875" style="26" customWidth="1"/>
    <col min="22" max="22" width="3.1796875" style="26" customWidth="1"/>
    <col min="23" max="23" width="19.1796875" style="26" customWidth="1"/>
    <col min="24" max="24" width="3.1796875" style="26" customWidth="1"/>
    <col min="25" max="25" width="19.1796875" style="26" customWidth="1"/>
    <col min="26" max="26" width="3.1796875" style="26" customWidth="1"/>
    <col min="27" max="27" width="19.1796875" style="26" customWidth="1"/>
    <col min="28" max="28" width="3.1796875" style="26" customWidth="1"/>
    <col min="29" max="29" width="19.1796875" style="26" customWidth="1"/>
    <col min="30" max="30" width="3.1796875" style="26" customWidth="1"/>
    <col min="31" max="31" width="19.1796875" style="26" customWidth="1"/>
    <col min="32" max="32" width="3.1796875" style="26" customWidth="1"/>
    <col min="33" max="33" width="19.1796875" style="26" customWidth="1"/>
    <col min="34" max="34" width="3.1796875" style="26" customWidth="1"/>
    <col min="37" max="37" width="10.7265625" customWidth="1"/>
  </cols>
  <sheetData>
    <row r="1" spans="1:34" x14ac:dyDescent="0.35">
      <c r="B1" s="67"/>
    </row>
    <row r="2" spans="1:34" ht="15" thickBot="1" x14ac:dyDescent="0.4"/>
    <row r="3" spans="1:34" ht="16" thickBot="1" x14ac:dyDescent="0.4">
      <c r="A3" s="2" t="s">
        <v>2</v>
      </c>
      <c r="B3" s="2" t="s">
        <v>3</v>
      </c>
      <c r="C3" s="109" t="s">
        <v>4</v>
      </c>
      <c r="D3" s="109"/>
      <c r="E3" s="110" t="s">
        <v>130</v>
      </c>
      <c r="F3" s="111"/>
      <c r="G3" s="110" t="s">
        <v>131</v>
      </c>
      <c r="H3" s="111"/>
      <c r="I3" s="110" t="s">
        <v>159</v>
      </c>
      <c r="J3" s="111"/>
      <c r="K3" s="110" t="s">
        <v>132</v>
      </c>
      <c r="L3" s="111"/>
      <c r="M3" s="110" t="s">
        <v>133</v>
      </c>
      <c r="N3" s="111"/>
      <c r="O3" s="110" t="s">
        <v>134</v>
      </c>
      <c r="P3" s="111"/>
      <c r="Q3" s="110" t="s">
        <v>160</v>
      </c>
      <c r="R3" s="111"/>
      <c r="S3" s="110" t="s">
        <v>135</v>
      </c>
      <c r="T3" s="111"/>
      <c r="U3" s="110" t="s">
        <v>136</v>
      </c>
      <c r="V3" s="111"/>
      <c r="W3" s="110" t="s">
        <v>137</v>
      </c>
      <c r="X3" s="111"/>
      <c r="Y3" s="110" t="s">
        <v>138</v>
      </c>
      <c r="Z3" s="111"/>
      <c r="AA3" s="110" t="s">
        <v>158</v>
      </c>
      <c r="AB3" s="111"/>
      <c r="AC3" s="110" t="s">
        <v>139</v>
      </c>
      <c r="AD3" s="111"/>
      <c r="AE3" s="110" t="s">
        <v>140</v>
      </c>
      <c r="AF3" s="111"/>
      <c r="AG3" s="110" t="s">
        <v>157</v>
      </c>
      <c r="AH3" s="111"/>
    </row>
    <row r="4" spans="1:34" ht="15" hidden="1" thickTop="1" x14ac:dyDescent="0.35">
      <c r="A4" s="4">
        <v>43819</v>
      </c>
      <c r="B4" s="5" t="s">
        <v>8</v>
      </c>
      <c r="C4" s="6" t="s">
        <v>9</v>
      </c>
      <c r="D4" s="7" t="s">
        <v>10</v>
      </c>
      <c r="E4" s="12" t="str">
        <f ca="1">VLOOKUP($B4,INDIRECT(E$3&amp;"!$B$4:$F$44"),4,FALSE)</f>
        <v xml:space="preserve">Buffalo </v>
      </c>
      <c r="F4" s="13">
        <f ca="1">VLOOKUP($B4,INDIRECT(E$3&amp;"!$B$4:$F$44"),5,FALSE)</f>
        <v>28</v>
      </c>
      <c r="G4" s="12" t="str">
        <f ca="1">VLOOKUP($B4,INDIRECT(G$3&amp;"!$B$4:$F$44"),4,FALSE)</f>
        <v xml:space="preserve">Buffalo </v>
      </c>
      <c r="H4" s="13">
        <f ca="1">VLOOKUP($B4,INDIRECT($G$3&amp;"!$B$4:$F$44"),5,FALSE)</f>
        <v>25</v>
      </c>
      <c r="I4" s="12" t="str">
        <f ca="1">VLOOKUP($B4,INDIRECT(I$3&amp;"!$B$4:$F$44"),4,FALSE)</f>
        <v xml:space="preserve">Buffalo </v>
      </c>
      <c r="J4" s="13">
        <f ca="1">VLOOKUP($B4,INDIRECT($I$3&amp;"!$B$4:$F$44"),5,FALSE)</f>
        <v>1</v>
      </c>
      <c r="K4" s="12" t="str">
        <f ca="1">VLOOKUP($B4,INDIRECT(K$3&amp;"!$B$4:$F$44"),4,FALSE)</f>
        <v xml:space="preserve">Buffalo </v>
      </c>
      <c r="L4" s="13">
        <f ca="1">VLOOKUP($B4,INDIRECT($K$3&amp;"!$B$4:$F$44"),5,FALSE)</f>
        <v>13</v>
      </c>
      <c r="M4" s="12" t="str">
        <f ca="1">VLOOKUP($B4,INDIRECT(M$3&amp;"!$B$4:$F$44"),4,FALSE)</f>
        <v xml:space="preserve">Buffalo </v>
      </c>
      <c r="N4" s="13">
        <f ca="1">VLOOKUP($B4,INDIRECT($M$3&amp;"!$B$4:$F$44"),5,FALSE)</f>
        <v>25</v>
      </c>
      <c r="O4" s="12" t="str">
        <f ca="1">VLOOKUP($B4,INDIRECT(O$3&amp;"!$B$4:$F$44"),4,FALSE)</f>
        <v xml:space="preserve">Buffalo </v>
      </c>
      <c r="P4" s="13">
        <f ca="1">VLOOKUP($B4,INDIRECT($O$3&amp;"!$B$4:$F$44"),5,FALSE)</f>
        <v>5</v>
      </c>
      <c r="Q4" s="12" t="str">
        <f ca="1">VLOOKUP($B4,INDIRECT(Q$3&amp;"!$B$4:$F$44"),4,FALSE)</f>
        <v xml:space="preserve">Buffalo </v>
      </c>
      <c r="R4" s="13">
        <f ca="1">VLOOKUP($B4,INDIRECT($Q$3&amp;"!$B$4:$F$44"),5,FALSE)</f>
        <v>20</v>
      </c>
      <c r="S4" s="12" t="str">
        <f ca="1">VLOOKUP($B4,INDIRECT(S$3&amp;"!$B$4:$F$44"),4,FALSE)</f>
        <v xml:space="preserve">Buffalo </v>
      </c>
      <c r="T4" s="13">
        <f ca="1">VLOOKUP($B4,INDIRECT($S$3&amp;"!$B$4:$F$44"),5,FALSE)</f>
        <v>31</v>
      </c>
      <c r="U4" s="12" t="str">
        <f ca="1">VLOOKUP($B4,INDIRECT(U$3&amp;"!$B$4:$F$44"),4,FALSE)</f>
        <v xml:space="preserve">Buffalo </v>
      </c>
      <c r="V4" s="13">
        <f ca="1">VLOOKUP($B4,INDIRECT($U$3&amp;"!$B$4:$F$44"),5,FALSE)</f>
        <v>12</v>
      </c>
      <c r="W4" s="12" t="str">
        <f ca="1">VLOOKUP($B4,INDIRECT(W$3&amp;"!$B$4:$F$44"),4,FALSE)</f>
        <v xml:space="preserve">Buffalo </v>
      </c>
      <c r="X4" s="13">
        <f ca="1">VLOOKUP($B4,INDIRECT($W$3&amp;"!$B$4:$F$44"),5,FALSE)</f>
        <v>3</v>
      </c>
      <c r="Y4" s="12" t="str">
        <f ca="1">VLOOKUP($B4,INDIRECT(Y$3&amp;"!$B$4:$F$44"),4,FALSE)</f>
        <v xml:space="preserve">Buffalo </v>
      </c>
      <c r="Z4" s="13">
        <f ca="1">VLOOKUP($B4,INDIRECT($Y$3&amp;"!$B$4:$F$44"),5,FALSE)</f>
        <v>19</v>
      </c>
      <c r="AA4" s="12" t="str">
        <f ca="1">VLOOKUP($B4,INDIRECT(AA$3&amp;"!$B$4:$F$44"),4,FALSE)</f>
        <v xml:space="preserve">Buffalo </v>
      </c>
      <c r="AB4" s="13">
        <f ca="1">VLOOKUP($B4,INDIRECT($AA$3&amp;"!$B$4:$F$44"),5,FALSE)</f>
        <v>34</v>
      </c>
      <c r="AC4" s="12" t="str">
        <f ca="1">VLOOKUP($B4,INDIRECT(AC$3&amp;"!$B$4:$F$44"),4,FALSE)</f>
        <v>Charlotte</v>
      </c>
      <c r="AD4" s="13">
        <f ca="1">VLOOKUP($B4,INDIRECT($AC$3&amp;"!$B$4:$F$44"),5,FALSE)</f>
        <v>33</v>
      </c>
      <c r="AE4" s="12" t="str">
        <f ca="1">VLOOKUP($B4,INDIRECT(AE$3&amp;"!$B$4:$F$44"),4,FALSE)</f>
        <v>Charlotte</v>
      </c>
      <c r="AF4" s="13">
        <f ca="1">VLOOKUP($B4,INDIRECT($AE$3&amp;"!$B$4:$F$44"),5,FALSE)</f>
        <v>2</v>
      </c>
      <c r="AG4" s="12" t="str">
        <f ca="1">VLOOKUP($B4,INDIRECT(AG$3&amp;"!$B$4:$F$44"),4,FALSE)</f>
        <v xml:space="preserve">Buffalo </v>
      </c>
      <c r="AH4" s="13">
        <f ca="1">VLOOKUP($B4,INDIRECT($AG$3&amp;"!$B$4:$F$44"),5,FALSE)</f>
        <v>25</v>
      </c>
    </row>
    <row r="5" spans="1:34" ht="15" hidden="1" thickTop="1" x14ac:dyDescent="0.35">
      <c r="A5" s="4">
        <v>43819</v>
      </c>
      <c r="B5" s="5" t="s">
        <v>11</v>
      </c>
      <c r="C5" s="12" t="s">
        <v>12</v>
      </c>
      <c r="D5" s="13" t="s">
        <v>13</v>
      </c>
      <c r="E5" s="12" t="str">
        <f t="shared" ref="E5:E43" ca="1" si="0">VLOOKUP($B5,INDIRECT($E$3&amp;"!$B$4:$F$44"),4,FALSE)</f>
        <v xml:space="preserve">Utah State </v>
      </c>
      <c r="F5" s="13">
        <f t="shared" ref="F5:F43" ca="1" si="1">VLOOKUP($B5,INDIRECT($E$3&amp;"!$B$4:$F$44"),5,FALSE)</f>
        <v>36</v>
      </c>
      <c r="G5" s="12" t="str">
        <f t="shared" ref="G5:G43" ca="1" si="2">VLOOKUP($B5,INDIRECT(G$3&amp;"!$B$4:$F$44"),4,FALSE)</f>
        <v xml:space="preserve">Utah State </v>
      </c>
      <c r="H5" s="13">
        <f t="shared" ref="H5:H43" ca="1" si="3">VLOOKUP($B5,INDIRECT($G$3&amp;"!$B$4:$F$44"),5,FALSE)</f>
        <v>24</v>
      </c>
      <c r="I5" s="12" t="str">
        <f t="shared" ref="I5:I43" ca="1" si="4">VLOOKUP($B5,INDIRECT(I$3&amp;"!$B$4:$F$44"),4,FALSE)</f>
        <v>Kent State</v>
      </c>
      <c r="J5" s="13">
        <f t="shared" ref="J5:J43" ca="1" si="5">VLOOKUP($B5,INDIRECT($I$3&amp;"!$B$4:$F$44"),5,FALSE)</f>
        <v>3</v>
      </c>
      <c r="K5" s="12" t="str">
        <f t="shared" ref="K5:K43" ca="1" si="6">VLOOKUP($B5,INDIRECT(K$3&amp;"!$B$4:$F$44"),4,FALSE)</f>
        <v xml:space="preserve">Utah State </v>
      </c>
      <c r="L5" s="13">
        <f t="shared" ref="L5:L43" ca="1" si="7">VLOOKUP($B5,INDIRECT($K$3&amp;"!$B$4:$F$44"),5,FALSE)</f>
        <v>20</v>
      </c>
      <c r="M5" s="12" t="str">
        <f t="shared" ref="M5:M43" ca="1" si="8">VLOOKUP($B5,INDIRECT(M$3&amp;"!$B$4:$F$44"),4,FALSE)</f>
        <v xml:space="preserve">Utah State </v>
      </c>
      <c r="N5" s="13">
        <f t="shared" ref="N5:N43" ca="1" si="9">VLOOKUP($B5,INDIRECT($M$3&amp;"!$B$4:$F$44"),5,FALSE)</f>
        <v>30</v>
      </c>
      <c r="O5" s="12" t="str">
        <f t="shared" ref="O5:O43" ca="1" si="10">VLOOKUP($B5,INDIRECT(O$3&amp;"!$B$4:$F$44"),4,FALSE)</f>
        <v xml:space="preserve">Utah State </v>
      </c>
      <c r="P5" s="13">
        <f t="shared" ref="P5:P43" ca="1" si="11">VLOOKUP($B5,INDIRECT($O$3&amp;"!$B$4:$F$44"),5,FALSE)</f>
        <v>31</v>
      </c>
      <c r="Q5" s="12" t="str">
        <f t="shared" ref="Q5:Q43" ca="1" si="12">VLOOKUP($B5,INDIRECT(Q$3&amp;"!$B$4:$F$44"),4,FALSE)</f>
        <v xml:space="preserve">Utah State </v>
      </c>
      <c r="R5" s="13">
        <f t="shared" ref="R5:R43" ca="1" si="13">VLOOKUP($B5,INDIRECT($Q$3&amp;"!$B$4:$F$44"),5,FALSE)</f>
        <v>31</v>
      </c>
      <c r="S5" s="12" t="str">
        <f t="shared" ref="S5:S43" ca="1" si="14">VLOOKUP($B5,INDIRECT(S$3&amp;"!$B$4:$F$44"),4,FALSE)</f>
        <v xml:space="preserve">Utah State </v>
      </c>
      <c r="T5" s="13">
        <f t="shared" ref="T5:T43" ca="1" si="15">VLOOKUP($B5,INDIRECT($S$3&amp;"!$B$4:$F$44"),5,FALSE)</f>
        <v>26</v>
      </c>
      <c r="U5" s="12" t="str">
        <f t="shared" ref="U5:U43" ca="1" si="16">VLOOKUP($B5,INDIRECT(U$3&amp;"!$B$4:$F$44"),4,FALSE)</f>
        <v xml:space="preserve">Utah State </v>
      </c>
      <c r="V5" s="13">
        <f t="shared" ref="V5:V43" ca="1" si="17">VLOOKUP($B5,INDIRECT($U$3&amp;"!$B$4:$F$44"),5,FALSE)</f>
        <v>27</v>
      </c>
      <c r="W5" s="12" t="str">
        <f t="shared" ref="W5:W43" ca="1" si="18">VLOOKUP($B5,INDIRECT(W$3&amp;"!$B$4:$F$44"),4,FALSE)</f>
        <v xml:space="preserve">Utah State </v>
      </c>
      <c r="X5" s="13">
        <f t="shared" ref="X5:X43" ca="1" si="19">VLOOKUP($B5,INDIRECT($W$3&amp;"!$B$4:$F$44"),5,FALSE)</f>
        <v>15</v>
      </c>
      <c r="Y5" s="12" t="str">
        <f t="shared" ref="Y5:Y43" ca="1" si="20">VLOOKUP($B5,INDIRECT(Y$3&amp;"!$B$4:$F$44"),4,FALSE)</f>
        <v>Kent State</v>
      </c>
      <c r="Z5" s="13">
        <f t="shared" ref="Z5:Z43" ca="1" si="21">VLOOKUP($B5,INDIRECT($Y$3&amp;"!$B$4:$F$44"),5,FALSE)</f>
        <v>2</v>
      </c>
      <c r="AA5" s="12" t="str">
        <f t="shared" ref="AA5:AA43" ca="1" si="22">VLOOKUP($B5,INDIRECT(AA$3&amp;"!$B$4:$F$44"),4,FALSE)</f>
        <v>Kent State</v>
      </c>
      <c r="AB5" s="13">
        <f t="shared" ref="AB5:AB43" ca="1" si="23">VLOOKUP($B5,INDIRECT($AA$3&amp;"!$B$4:$F$44"),5,FALSE)</f>
        <v>27</v>
      </c>
      <c r="AC5" s="12" t="str">
        <f t="shared" ref="AC5:AC43" ca="1" si="24">VLOOKUP($B5,INDIRECT(AC$3&amp;"!$B$4:$F$44"),4,FALSE)</f>
        <v xml:space="preserve">Utah State </v>
      </c>
      <c r="AD5" s="13">
        <f t="shared" ref="AD5:AD43" ca="1" si="25">VLOOKUP($B5,INDIRECT($AC$3&amp;"!$B$4:$F$44"),5,FALSE)</f>
        <v>15</v>
      </c>
      <c r="AE5" s="12" t="str">
        <f t="shared" ref="AE5:AE43" ca="1" si="26">VLOOKUP($B5,INDIRECT(AE$3&amp;"!$B$4:$F$44"),4,FALSE)</f>
        <v xml:space="preserve">Utah State </v>
      </c>
      <c r="AF5" s="13">
        <f t="shared" ref="AF5:AF43" ca="1" si="27">VLOOKUP($B5,INDIRECT($AE$3&amp;"!$B$4:$F$44"),5,FALSE)</f>
        <v>3</v>
      </c>
      <c r="AG5" s="12" t="str">
        <f t="shared" ref="AG5:AG43" ca="1" si="28">VLOOKUP($B5,INDIRECT(AG$3&amp;"!$B$4:$F$44"),4,FALSE)</f>
        <v xml:space="preserve">Utah State </v>
      </c>
      <c r="AH5" s="13">
        <f t="shared" ref="AH5:AH43" ca="1" si="29">VLOOKUP($B5,INDIRECT($AG$3&amp;"!$B$4:$F$44"),5,FALSE)</f>
        <v>23</v>
      </c>
    </row>
    <row r="6" spans="1:34" ht="15" hidden="1" thickTop="1" x14ac:dyDescent="0.35">
      <c r="A6" s="4">
        <v>43820</v>
      </c>
      <c r="B6" s="5" t="s">
        <v>14</v>
      </c>
      <c r="C6" s="12" t="s">
        <v>15</v>
      </c>
      <c r="D6" s="13" t="s">
        <v>16</v>
      </c>
      <c r="E6" s="12" t="str">
        <f t="shared" ca="1" si="0"/>
        <v>North Carolina A&amp;T</v>
      </c>
      <c r="F6" s="13">
        <f t="shared" ca="1" si="1"/>
        <v>1</v>
      </c>
      <c r="G6" s="12" t="str">
        <f t="shared" ca="1" si="2"/>
        <v>North Carolina A&amp;T</v>
      </c>
      <c r="H6" s="13">
        <f t="shared" ca="1" si="3"/>
        <v>3</v>
      </c>
      <c r="I6" s="12" t="str">
        <f t="shared" ca="1" si="4"/>
        <v>North Carolina A&amp;T</v>
      </c>
      <c r="J6" s="13">
        <f t="shared" ca="1" si="5"/>
        <v>2</v>
      </c>
      <c r="K6" s="12" t="str">
        <f t="shared" ca="1" si="6"/>
        <v>North Carolina A&amp;T</v>
      </c>
      <c r="L6" s="13">
        <f t="shared" ca="1" si="7"/>
        <v>1</v>
      </c>
      <c r="M6" s="12" t="str">
        <f t="shared" ca="1" si="8"/>
        <v xml:space="preserve">Alcorn State </v>
      </c>
      <c r="N6" s="13">
        <f t="shared" ca="1" si="9"/>
        <v>1</v>
      </c>
      <c r="O6" s="12" t="str">
        <f t="shared" ca="1" si="10"/>
        <v xml:space="preserve">Alcorn State </v>
      </c>
      <c r="P6" s="13">
        <f t="shared" ca="1" si="11"/>
        <v>16</v>
      </c>
      <c r="Q6" s="12" t="str">
        <f t="shared" ca="1" si="12"/>
        <v>North Carolina A&amp;T</v>
      </c>
      <c r="R6" s="13">
        <f t="shared" ca="1" si="13"/>
        <v>12</v>
      </c>
      <c r="S6" s="12" t="str">
        <f t="shared" ca="1" si="14"/>
        <v>North Carolina A&amp;T</v>
      </c>
      <c r="T6" s="13">
        <f t="shared" ca="1" si="15"/>
        <v>17</v>
      </c>
      <c r="U6" s="12" t="str">
        <f t="shared" ca="1" si="16"/>
        <v xml:space="preserve">Alcorn State </v>
      </c>
      <c r="V6" s="13">
        <f t="shared" ca="1" si="17"/>
        <v>1</v>
      </c>
      <c r="W6" s="12" t="str">
        <f t="shared" ca="1" si="18"/>
        <v>North Carolina A&amp;T</v>
      </c>
      <c r="X6" s="13">
        <f t="shared" ca="1" si="19"/>
        <v>2</v>
      </c>
      <c r="Y6" s="12" t="str">
        <f t="shared" ca="1" si="20"/>
        <v>North Carolina A&amp;T</v>
      </c>
      <c r="Z6" s="13">
        <f t="shared" ca="1" si="21"/>
        <v>3</v>
      </c>
      <c r="AA6" s="12" t="str">
        <f t="shared" ca="1" si="22"/>
        <v>North Carolina A&amp;T</v>
      </c>
      <c r="AB6" s="13">
        <f t="shared" ca="1" si="23"/>
        <v>33</v>
      </c>
      <c r="AC6" s="12" t="str">
        <f t="shared" ca="1" si="24"/>
        <v xml:space="preserve">Alcorn State </v>
      </c>
      <c r="AD6" s="13">
        <f t="shared" ca="1" si="25"/>
        <v>1</v>
      </c>
      <c r="AE6" s="12" t="str">
        <f t="shared" ca="1" si="26"/>
        <v xml:space="preserve">Alcorn State </v>
      </c>
      <c r="AF6" s="13">
        <f t="shared" ca="1" si="27"/>
        <v>4</v>
      </c>
      <c r="AG6" s="12" t="str">
        <f t="shared" ca="1" si="28"/>
        <v xml:space="preserve">Alcorn State </v>
      </c>
      <c r="AH6" s="13">
        <f t="shared" ca="1" si="29"/>
        <v>20</v>
      </c>
    </row>
    <row r="7" spans="1:34" ht="15" hidden="1" thickTop="1" x14ac:dyDescent="0.35">
      <c r="A7" s="4">
        <v>43820</v>
      </c>
      <c r="B7" s="5" t="s">
        <v>17</v>
      </c>
      <c r="C7" s="12" t="s">
        <v>18</v>
      </c>
      <c r="D7" s="13" t="s">
        <v>19</v>
      </c>
      <c r="E7" s="12" t="str">
        <f t="shared" ca="1" si="0"/>
        <v xml:space="preserve">San Diego State </v>
      </c>
      <c r="F7" s="13">
        <f t="shared" ca="1" si="1"/>
        <v>25</v>
      </c>
      <c r="G7" s="12" t="str">
        <f t="shared" ca="1" si="2"/>
        <v xml:space="preserve">San Diego State </v>
      </c>
      <c r="H7" s="13">
        <f t="shared" ca="1" si="3"/>
        <v>20</v>
      </c>
      <c r="I7" s="12" t="str">
        <f t="shared" ca="1" si="4"/>
        <v>Central Michigan</v>
      </c>
      <c r="J7" s="13">
        <f t="shared" ca="1" si="5"/>
        <v>8</v>
      </c>
      <c r="K7" s="12" t="str">
        <f t="shared" ca="1" si="6"/>
        <v xml:space="preserve">San Diego State </v>
      </c>
      <c r="L7" s="13">
        <f t="shared" ca="1" si="7"/>
        <v>30</v>
      </c>
      <c r="M7" s="12" t="str">
        <f t="shared" ca="1" si="8"/>
        <v>Central Michigan</v>
      </c>
      <c r="N7" s="13">
        <f t="shared" ca="1" si="9"/>
        <v>6</v>
      </c>
      <c r="O7" s="12" t="str">
        <f t="shared" ca="1" si="10"/>
        <v xml:space="preserve">San Diego State </v>
      </c>
      <c r="P7" s="13">
        <f t="shared" ca="1" si="11"/>
        <v>32</v>
      </c>
      <c r="Q7" s="12" t="str">
        <f t="shared" ca="1" si="12"/>
        <v>Central Michigan</v>
      </c>
      <c r="R7" s="13">
        <f t="shared" ca="1" si="13"/>
        <v>10</v>
      </c>
      <c r="S7" s="12" t="str">
        <f t="shared" ca="1" si="14"/>
        <v xml:space="preserve">San Diego State </v>
      </c>
      <c r="T7" s="13">
        <f t="shared" ca="1" si="15"/>
        <v>19</v>
      </c>
      <c r="U7" s="12" t="str">
        <f t="shared" ca="1" si="16"/>
        <v xml:space="preserve">San Diego State </v>
      </c>
      <c r="V7" s="13">
        <f t="shared" ca="1" si="17"/>
        <v>38</v>
      </c>
      <c r="W7" s="12" t="str">
        <f t="shared" ca="1" si="18"/>
        <v>Central Michigan</v>
      </c>
      <c r="X7" s="13">
        <f t="shared" ca="1" si="19"/>
        <v>5</v>
      </c>
      <c r="Y7" s="12" t="str">
        <f t="shared" ca="1" si="20"/>
        <v>Central Michigan</v>
      </c>
      <c r="Z7" s="13">
        <f t="shared" ca="1" si="21"/>
        <v>22</v>
      </c>
      <c r="AA7" s="12" t="str">
        <f t="shared" ca="1" si="22"/>
        <v xml:space="preserve">San Diego State </v>
      </c>
      <c r="AB7" s="13">
        <f t="shared" ca="1" si="23"/>
        <v>28</v>
      </c>
      <c r="AC7" s="12" t="str">
        <f t="shared" ca="1" si="24"/>
        <v>Central Michigan</v>
      </c>
      <c r="AD7" s="13">
        <f t="shared" ca="1" si="25"/>
        <v>24</v>
      </c>
      <c r="AE7" s="12" t="str">
        <f t="shared" ca="1" si="26"/>
        <v xml:space="preserve">San Diego State </v>
      </c>
      <c r="AF7" s="13">
        <f t="shared" ca="1" si="27"/>
        <v>5</v>
      </c>
      <c r="AG7" s="12" t="str">
        <f t="shared" ca="1" si="28"/>
        <v xml:space="preserve">San Diego State </v>
      </c>
      <c r="AH7" s="13">
        <f t="shared" ca="1" si="29"/>
        <v>26</v>
      </c>
    </row>
    <row r="8" spans="1:34" ht="15" hidden="1" thickTop="1" x14ac:dyDescent="0.35">
      <c r="A8" s="4">
        <v>43820</v>
      </c>
      <c r="B8" s="5" t="s">
        <v>20</v>
      </c>
      <c r="C8" s="12" t="s">
        <v>21</v>
      </c>
      <c r="D8" s="13" t="s">
        <v>22</v>
      </c>
      <c r="E8" s="12" t="str">
        <f t="shared" ca="1" si="0"/>
        <v>Liberty</v>
      </c>
      <c r="F8" s="13">
        <f t="shared" ca="1" si="1"/>
        <v>3</v>
      </c>
      <c r="G8" s="12" t="str">
        <f t="shared" ca="1" si="2"/>
        <v xml:space="preserve">Georgia Southern </v>
      </c>
      <c r="H8" s="13">
        <f t="shared" ca="1" si="3"/>
        <v>21</v>
      </c>
      <c r="I8" s="12" t="str">
        <f t="shared" ca="1" si="4"/>
        <v xml:space="preserve">Georgia Southern </v>
      </c>
      <c r="J8" s="13">
        <f t="shared" ca="1" si="5"/>
        <v>7</v>
      </c>
      <c r="K8" s="12" t="str">
        <f t="shared" ca="1" si="6"/>
        <v xml:space="preserve">Georgia Southern </v>
      </c>
      <c r="L8" s="13">
        <f t="shared" ca="1" si="7"/>
        <v>10</v>
      </c>
      <c r="M8" s="12" t="str">
        <f t="shared" ca="1" si="8"/>
        <v xml:space="preserve">Georgia Southern </v>
      </c>
      <c r="N8" s="13">
        <f t="shared" ca="1" si="9"/>
        <v>10</v>
      </c>
      <c r="O8" s="12" t="str">
        <f t="shared" ca="1" si="10"/>
        <v xml:space="preserve">Georgia Southern </v>
      </c>
      <c r="P8" s="13">
        <f t="shared" ca="1" si="11"/>
        <v>19</v>
      </c>
      <c r="Q8" s="12" t="str">
        <f t="shared" ca="1" si="12"/>
        <v xml:space="preserve">Georgia Southern </v>
      </c>
      <c r="R8" s="13">
        <f t="shared" ca="1" si="13"/>
        <v>24</v>
      </c>
      <c r="S8" s="12" t="str">
        <f t="shared" ca="1" si="14"/>
        <v xml:space="preserve">Georgia Southern </v>
      </c>
      <c r="T8" s="13">
        <f t="shared" ca="1" si="15"/>
        <v>20</v>
      </c>
      <c r="U8" s="12" t="str">
        <f t="shared" ca="1" si="16"/>
        <v xml:space="preserve">Georgia Southern </v>
      </c>
      <c r="V8" s="13">
        <f t="shared" ca="1" si="17"/>
        <v>19</v>
      </c>
      <c r="W8" s="12" t="str">
        <f t="shared" ca="1" si="18"/>
        <v xml:space="preserve">Georgia Southern </v>
      </c>
      <c r="X8" s="13">
        <f t="shared" ca="1" si="19"/>
        <v>7</v>
      </c>
      <c r="Y8" s="12" t="str">
        <f t="shared" ca="1" si="20"/>
        <v xml:space="preserve">Georgia Southern </v>
      </c>
      <c r="Z8" s="13">
        <f t="shared" ca="1" si="21"/>
        <v>28</v>
      </c>
      <c r="AA8" s="12" t="str">
        <f t="shared" ca="1" si="22"/>
        <v xml:space="preserve">Georgia Southern </v>
      </c>
      <c r="AB8" s="13">
        <f t="shared" ca="1" si="23"/>
        <v>32</v>
      </c>
      <c r="AC8" s="12" t="str">
        <f t="shared" ca="1" si="24"/>
        <v>Liberty</v>
      </c>
      <c r="AD8" s="13">
        <f t="shared" ca="1" si="25"/>
        <v>6</v>
      </c>
      <c r="AE8" s="12" t="str">
        <f t="shared" ca="1" si="26"/>
        <v>Liberty</v>
      </c>
      <c r="AF8" s="13">
        <f t="shared" ca="1" si="27"/>
        <v>6</v>
      </c>
      <c r="AG8" s="12" t="str">
        <f t="shared" ca="1" si="28"/>
        <v xml:space="preserve">Georgia Southern </v>
      </c>
      <c r="AH8" s="13">
        <f t="shared" ca="1" si="29"/>
        <v>11</v>
      </c>
    </row>
    <row r="9" spans="1:34" ht="15" hidden="1" thickTop="1" x14ac:dyDescent="0.35">
      <c r="A9" s="4">
        <v>43820</v>
      </c>
      <c r="B9" s="5" t="s">
        <v>23</v>
      </c>
      <c r="C9" s="12" t="s">
        <v>24</v>
      </c>
      <c r="D9" s="13" t="s">
        <v>25</v>
      </c>
      <c r="E9" s="12" t="str">
        <f t="shared" ca="1" si="0"/>
        <v xml:space="preserve">SMU </v>
      </c>
      <c r="F9" s="13">
        <f t="shared" ca="1" si="1"/>
        <v>31</v>
      </c>
      <c r="G9" s="12" t="str">
        <f t="shared" ca="1" si="2"/>
        <v>FAU</v>
      </c>
      <c r="H9" s="13">
        <f t="shared" ca="1" si="3"/>
        <v>13</v>
      </c>
      <c r="I9" s="12" t="str">
        <f t="shared" ca="1" si="4"/>
        <v xml:space="preserve">SMU </v>
      </c>
      <c r="J9" s="13">
        <f t="shared" ca="1" si="5"/>
        <v>22</v>
      </c>
      <c r="K9" s="12" t="str">
        <f t="shared" ca="1" si="6"/>
        <v>FAU</v>
      </c>
      <c r="L9" s="13">
        <f t="shared" ca="1" si="7"/>
        <v>11</v>
      </c>
      <c r="M9" s="12" t="str">
        <f t="shared" ca="1" si="8"/>
        <v xml:space="preserve">SMU </v>
      </c>
      <c r="N9" s="13">
        <f t="shared" ca="1" si="9"/>
        <v>29</v>
      </c>
      <c r="O9" s="12" t="str">
        <f t="shared" ca="1" si="10"/>
        <v xml:space="preserve">SMU </v>
      </c>
      <c r="P9" s="13">
        <f t="shared" ca="1" si="11"/>
        <v>29</v>
      </c>
      <c r="Q9" s="12" t="str">
        <f t="shared" ca="1" si="12"/>
        <v xml:space="preserve">SMU </v>
      </c>
      <c r="R9" s="13">
        <f t="shared" ca="1" si="13"/>
        <v>19</v>
      </c>
      <c r="S9" s="12" t="str">
        <f t="shared" ca="1" si="14"/>
        <v xml:space="preserve">SMU </v>
      </c>
      <c r="T9" s="13">
        <f t="shared" ca="1" si="15"/>
        <v>22</v>
      </c>
      <c r="U9" s="12" t="str">
        <f t="shared" ca="1" si="16"/>
        <v xml:space="preserve">SMU </v>
      </c>
      <c r="V9" s="13">
        <f t="shared" ca="1" si="17"/>
        <v>33</v>
      </c>
      <c r="W9" s="12" t="str">
        <f t="shared" ca="1" si="18"/>
        <v xml:space="preserve">SMU </v>
      </c>
      <c r="X9" s="13">
        <f t="shared" ca="1" si="19"/>
        <v>20</v>
      </c>
      <c r="Y9" s="12" t="str">
        <f t="shared" ca="1" si="20"/>
        <v xml:space="preserve">SMU </v>
      </c>
      <c r="Z9" s="13">
        <f t="shared" ca="1" si="21"/>
        <v>4</v>
      </c>
      <c r="AA9" s="12" t="str">
        <f t="shared" ca="1" si="22"/>
        <v xml:space="preserve">SMU </v>
      </c>
      <c r="AB9" s="13">
        <f t="shared" ca="1" si="23"/>
        <v>30</v>
      </c>
      <c r="AC9" s="12" t="str">
        <f t="shared" ca="1" si="24"/>
        <v xml:space="preserve">SMU </v>
      </c>
      <c r="AD9" s="13">
        <f t="shared" ca="1" si="25"/>
        <v>7</v>
      </c>
      <c r="AE9" s="12" t="str">
        <f t="shared" ca="1" si="26"/>
        <v xml:space="preserve">SMU </v>
      </c>
      <c r="AF9" s="13">
        <f t="shared" ca="1" si="27"/>
        <v>15</v>
      </c>
      <c r="AG9" s="12" t="str">
        <f t="shared" ca="1" si="28"/>
        <v xml:space="preserve">SMU </v>
      </c>
      <c r="AH9" s="13">
        <f t="shared" ca="1" si="29"/>
        <v>18</v>
      </c>
    </row>
    <row r="10" spans="1:34" ht="15" hidden="1" thickTop="1" x14ac:dyDescent="0.35">
      <c r="A10" s="4">
        <v>43820</v>
      </c>
      <c r="B10" s="5" t="s">
        <v>26</v>
      </c>
      <c r="C10" s="12" t="s">
        <v>27</v>
      </c>
      <c r="D10" s="13" t="s">
        <v>28</v>
      </c>
      <c r="E10" s="12" t="str">
        <f t="shared" ca="1" si="0"/>
        <v xml:space="preserve">FIU </v>
      </c>
      <c r="F10" s="13">
        <f t="shared" ca="1" si="1"/>
        <v>4</v>
      </c>
      <c r="G10" s="12" t="str">
        <f t="shared" ca="1" si="2"/>
        <v>Arkansas State</v>
      </c>
      <c r="H10" s="13">
        <f t="shared" ca="1" si="3"/>
        <v>4</v>
      </c>
      <c r="I10" s="12" t="str">
        <f t="shared" ca="1" si="4"/>
        <v xml:space="preserve">FIU </v>
      </c>
      <c r="J10" s="13">
        <f t="shared" ca="1" si="5"/>
        <v>5</v>
      </c>
      <c r="K10" s="12" t="str">
        <f t="shared" ca="1" si="6"/>
        <v>Arkansas State</v>
      </c>
      <c r="L10" s="13">
        <f t="shared" ca="1" si="7"/>
        <v>12</v>
      </c>
      <c r="M10" s="12" t="str">
        <f t="shared" ca="1" si="8"/>
        <v>Arkansas State</v>
      </c>
      <c r="N10" s="13">
        <f t="shared" ca="1" si="9"/>
        <v>12</v>
      </c>
      <c r="O10" s="12" t="str">
        <f t="shared" ca="1" si="10"/>
        <v>Arkansas State</v>
      </c>
      <c r="P10" s="13">
        <f t="shared" ca="1" si="11"/>
        <v>4</v>
      </c>
      <c r="Q10" s="12" t="str">
        <f t="shared" ca="1" si="12"/>
        <v>Arkansas State</v>
      </c>
      <c r="R10" s="13">
        <f t="shared" ca="1" si="13"/>
        <v>28</v>
      </c>
      <c r="S10" s="12" t="str">
        <f t="shared" ca="1" si="14"/>
        <v>Arkansas State</v>
      </c>
      <c r="T10" s="13">
        <f t="shared" ca="1" si="15"/>
        <v>5</v>
      </c>
      <c r="U10" s="12" t="str">
        <f t="shared" ca="1" si="16"/>
        <v>Arkansas State</v>
      </c>
      <c r="V10" s="13">
        <f t="shared" ca="1" si="17"/>
        <v>16</v>
      </c>
      <c r="W10" s="12" t="str">
        <f t="shared" ca="1" si="18"/>
        <v>Arkansas State</v>
      </c>
      <c r="X10" s="13">
        <f t="shared" ca="1" si="19"/>
        <v>10</v>
      </c>
      <c r="Y10" s="12" t="str">
        <f t="shared" ca="1" si="20"/>
        <v>Arkansas State</v>
      </c>
      <c r="Z10" s="13">
        <f t="shared" ca="1" si="21"/>
        <v>29</v>
      </c>
      <c r="AA10" s="12" t="str">
        <f t="shared" ca="1" si="22"/>
        <v xml:space="preserve">FIU </v>
      </c>
      <c r="AB10" s="13">
        <f t="shared" ca="1" si="23"/>
        <v>29</v>
      </c>
      <c r="AC10" s="12" t="str">
        <f t="shared" ca="1" si="24"/>
        <v xml:space="preserve">FIU </v>
      </c>
      <c r="AD10" s="13">
        <f t="shared" ca="1" si="25"/>
        <v>12</v>
      </c>
      <c r="AE10" s="12" t="str">
        <f t="shared" ca="1" si="26"/>
        <v>Arkansas State</v>
      </c>
      <c r="AF10" s="13">
        <f t="shared" ca="1" si="27"/>
        <v>7</v>
      </c>
      <c r="AG10" s="12" t="str">
        <f t="shared" ca="1" si="28"/>
        <v>Arkansas State</v>
      </c>
      <c r="AH10" s="13">
        <f t="shared" ca="1" si="29"/>
        <v>17</v>
      </c>
    </row>
    <row r="11" spans="1:34" ht="15" hidden="1" thickTop="1" x14ac:dyDescent="0.35">
      <c r="A11" s="4">
        <v>43820</v>
      </c>
      <c r="B11" s="5" t="s">
        <v>29</v>
      </c>
      <c r="C11" s="12" t="s">
        <v>30</v>
      </c>
      <c r="D11" s="13" t="s">
        <v>31</v>
      </c>
      <c r="E11" s="12" t="str">
        <f t="shared" ca="1" si="0"/>
        <v xml:space="preserve">Washington </v>
      </c>
      <c r="F11" s="13">
        <f t="shared" ca="1" si="1"/>
        <v>21</v>
      </c>
      <c r="G11" s="12" t="str">
        <f t="shared" ca="1" si="2"/>
        <v xml:space="preserve">Washington </v>
      </c>
      <c r="H11" s="13">
        <f t="shared" ca="1" si="3"/>
        <v>14</v>
      </c>
      <c r="I11" s="12" t="str">
        <f t="shared" ca="1" si="4"/>
        <v xml:space="preserve">Washington </v>
      </c>
      <c r="J11" s="13">
        <f t="shared" ca="1" si="5"/>
        <v>16</v>
      </c>
      <c r="K11" s="12" t="str">
        <f t="shared" ca="1" si="6"/>
        <v>Boise State</v>
      </c>
      <c r="L11" s="13">
        <f t="shared" ca="1" si="7"/>
        <v>28</v>
      </c>
      <c r="M11" s="12" t="str">
        <f t="shared" ca="1" si="8"/>
        <v xml:space="preserve">Washington </v>
      </c>
      <c r="N11" s="13">
        <f t="shared" ca="1" si="9"/>
        <v>4</v>
      </c>
      <c r="O11" s="12" t="str">
        <f t="shared" ca="1" si="10"/>
        <v xml:space="preserve">Washington </v>
      </c>
      <c r="P11" s="13">
        <f t="shared" ca="1" si="11"/>
        <v>28</v>
      </c>
      <c r="Q11" s="12" t="str">
        <f t="shared" ca="1" si="12"/>
        <v xml:space="preserve">Washington </v>
      </c>
      <c r="R11" s="13">
        <f t="shared" ca="1" si="13"/>
        <v>22</v>
      </c>
      <c r="S11" s="12" t="str">
        <f t="shared" ca="1" si="14"/>
        <v xml:space="preserve">Washington </v>
      </c>
      <c r="T11" s="13">
        <f t="shared" ca="1" si="15"/>
        <v>4</v>
      </c>
      <c r="U11" s="12" t="str">
        <f t="shared" ca="1" si="16"/>
        <v>Boise State</v>
      </c>
      <c r="V11" s="13">
        <f t="shared" ca="1" si="17"/>
        <v>5</v>
      </c>
      <c r="W11" s="12" t="str">
        <f t="shared" ca="1" si="18"/>
        <v>Boise State</v>
      </c>
      <c r="X11" s="13">
        <f t="shared" ca="1" si="19"/>
        <v>9</v>
      </c>
      <c r="Y11" s="12" t="str">
        <f t="shared" ca="1" si="20"/>
        <v>Boise State</v>
      </c>
      <c r="Z11" s="13">
        <f t="shared" ca="1" si="21"/>
        <v>33</v>
      </c>
      <c r="AA11" s="12" t="str">
        <f t="shared" ca="1" si="22"/>
        <v xml:space="preserve">Washington </v>
      </c>
      <c r="AB11" s="13">
        <f t="shared" ca="1" si="23"/>
        <v>31</v>
      </c>
      <c r="AC11" s="12" t="str">
        <f t="shared" ca="1" si="24"/>
        <v xml:space="preserve">Washington </v>
      </c>
      <c r="AD11" s="13">
        <f t="shared" ca="1" si="25"/>
        <v>10</v>
      </c>
      <c r="AE11" s="12" t="str">
        <f t="shared" ca="1" si="26"/>
        <v xml:space="preserve">Washington </v>
      </c>
      <c r="AF11" s="13">
        <f t="shared" ca="1" si="27"/>
        <v>20</v>
      </c>
      <c r="AG11" s="12" t="str">
        <f t="shared" ca="1" si="28"/>
        <v>Boise State</v>
      </c>
      <c r="AH11" s="13">
        <f t="shared" ca="1" si="29"/>
        <v>22</v>
      </c>
    </row>
    <row r="12" spans="1:34" ht="15" hidden="1" thickTop="1" x14ac:dyDescent="0.35">
      <c r="A12" s="4">
        <v>43820</v>
      </c>
      <c r="B12" s="5" t="s">
        <v>32</v>
      </c>
      <c r="C12" s="12" t="s">
        <v>33</v>
      </c>
      <c r="D12" s="13" t="s">
        <v>34</v>
      </c>
      <c r="E12" s="12" t="str">
        <f t="shared" ca="1" si="0"/>
        <v xml:space="preserve">Appalachian State </v>
      </c>
      <c r="F12" s="13">
        <f t="shared" ca="1" si="1"/>
        <v>39</v>
      </c>
      <c r="G12" s="12" t="str">
        <f t="shared" ca="1" si="2"/>
        <v xml:space="preserve">Appalachian State </v>
      </c>
      <c r="H12" s="13">
        <f t="shared" ca="1" si="3"/>
        <v>37</v>
      </c>
      <c r="I12" s="12" t="str">
        <f t="shared" ca="1" si="4"/>
        <v xml:space="preserve">Appalachian State </v>
      </c>
      <c r="J12" s="13">
        <f t="shared" ca="1" si="5"/>
        <v>37</v>
      </c>
      <c r="K12" s="12" t="str">
        <f t="shared" ca="1" si="6"/>
        <v xml:space="preserve">Appalachian State </v>
      </c>
      <c r="L12" s="13">
        <f t="shared" ca="1" si="7"/>
        <v>40</v>
      </c>
      <c r="M12" s="12" t="str">
        <f t="shared" ca="1" si="8"/>
        <v xml:space="preserve">Appalachian State </v>
      </c>
      <c r="N12" s="13">
        <f t="shared" ca="1" si="9"/>
        <v>36</v>
      </c>
      <c r="O12" s="12" t="str">
        <f t="shared" ca="1" si="10"/>
        <v xml:space="preserve">Appalachian State </v>
      </c>
      <c r="P12" s="13">
        <f t="shared" ca="1" si="11"/>
        <v>20</v>
      </c>
      <c r="Q12" s="12" t="str">
        <f t="shared" ca="1" si="12"/>
        <v xml:space="preserve">Appalachian State </v>
      </c>
      <c r="R12" s="13">
        <f t="shared" ca="1" si="13"/>
        <v>35</v>
      </c>
      <c r="S12" s="12" t="str">
        <f t="shared" ca="1" si="14"/>
        <v xml:space="preserve">Appalachian State </v>
      </c>
      <c r="T12" s="13">
        <f t="shared" ca="1" si="15"/>
        <v>39</v>
      </c>
      <c r="U12" s="12" t="str">
        <f t="shared" ca="1" si="16"/>
        <v xml:space="preserve">Appalachian State </v>
      </c>
      <c r="V12" s="13">
        <f t="shared" ca="1" si="17"/>
        <v>37</v>
      </c>
      <c r="W12" s="12" t="str">
        <f t="shared" ca="1" si="18"/>
        <v xml:space="preserve">Appalachian State </v>
      </c>
      <c r="X12" s="13">
        <f t="shared" ca="1" si="19"/>
        <v>30</v>
      </c>
      <c r="Y12" s="12" t="str">
        <f t="shared" ca="1" si="20"/>
        <v xml:space="preserve">Appalachian State </v>
      </c>
      <c r="Z12" s="13">
        <f t="shared" ca="1" si="21"/>
        <v>5</v>
      </c>
      <c r="AA12" s="12" t="str">
        <f t="shared" ca="1" si="22"/>
        <v xml:space="preserve">Appalachian State </v>
      </c>
      <c r="AB12" s="13">
        <f t="shared" ca="1" si="23"/>
        <v>1</v>
      </c>
      <c r="AC12" s="12" t="str">
        <f t="shared" ca="1" si="24"/>
        <v xml:space="preserve">Appalachian State </v>
      </c>
      <c r="AD12" s="13">
        <f t="shared" ca="1" si="25"/>
        <v>29</v>
      </c>
      <c r="AE12" s="12" t="str">
        <f t="shared" ca="1" si="26"/>
        <v xml:space="preserve">Appalachian State </v>
      </c>
      <c r="AF12" s="13">
        <f t="shared" ca="1" si="27"/>
        <v>39</v>
      </c>
      <c r="AG12" s="12" t="str">
        <f t="shared" ca="1" si="28"/>
        <v xml:space="preserve">Appalachian State </v>
      </c>
      <c r="AH12" s="13">
        <f t="shared" ca="1" si="29"/>
        <v>28</v>
      </c>
    </row>
    <row r="13" spans="1:34" ht="15" hidden="1" thickTop="1" x14ac:dyDescent="0.35">
      <c r="A13" s="4">
        <v>43822</v>
      </c>
      <c r="B13" s="5" t="s">
        <v>35</v>
      </c>
      <c r="C13" s="12" t="s">
        <v>36</v>
      </c>
      <c r="D13" s="13" t="s">
        <v>37</v>
      </c>
      <c r="E13" s="12" t="str">
        <f t="shared" ca="1" si="0"/>
        <v xml:space="preserve">UCF </v>
      </c>
      <c r="F13" s="13">
        <f t="shared" ca="1" si="1"/>
        <v>35</v>
      </c>
      <c r="G13" s="12" t="str">
        <f t="shared" ca="1" si="2"/>
        <v xml:space="preserve">UCF </v>
      </c>
      <c r="H13" s="13">
        <f t="shared" ca="1" si="3"/>
        <v>38</v>
      </c>
      <c r="I13" s="12" t="str">
        <f t="shared" ca="1" si="4"/>
        <v xml:space="preserve">UCF </v>
      </c>
      <c r="J13" s="13">
        <f t="shared" ca="1" si="5"/>
        <v>36</v>
      </c>
      <c r="K13" s="12" t="str">
        <f t="shared" ca="1" si="6"/>
        <v xml:space="preserve">UCF </v>
      </c>
      <c r="L13" s="13">
        <f t="shared" ca="1" si="7"/>
        <v>39</v>
      </c>
      <c r="M13" s="12" t="str">
        <f t="shared" ca="1" si="8"/>
        <v xml:space="preserve">UCF </v>
      </c>
      <c r="N13" s="13">
        <f t="shared" ca="1" si="9"/>
        <v>37</v>
      </c>
      <c r="O13" s="12" t="str">
        <f t="shared" ca="1" si="10"/>
        <v xml:space="preserve">UCF </v>
      </c>
      <c r="P13" s="13">
        <f t="shared" ca="1" si="11"/>
        <v>11</v>
      </c>
      <c r="Q13" s="12" t="str">
        <f t="shared" ca="1" si="12"/>
        <v xml:space="preserve">UCF </v>
      </c>
      <c r="R13" s="13">
        <f t="shared" ca="1" si="13"/>
        <v>32</v>
      </c>
      <c r="S13" s="12" t="str">
        <f t="shared" ca="1" si="14"/>
        <v xml:space="preserve">UCF </v>
      </c>
      <c r="T13" s="13">
        <f t="shared" ca="1" si="15"/>
        <v>40</v>
      </c>
      <c r="U13" s="12" t="str">
        <f t="shared" ca="1" si="16"/>
        <v xml:space="preserve">UCF </v>
      </c>
      <c r="V13" s="13">
        <f t="shared" ca="1" si="17"/>
        <v>39</v>
      </c>
      <c r="W13" s="12" t="str">
        <f t="shared" ca="1" si="18"/>
        <v xml:space="preserve">UCF </v>
      </c>
      <c r="X13" s="13">
        <f t="shared" ca="1" si="19"/>
        <v>35</v>
      </c>
      <c r="Y13" s="12" t="str">
        <f t="shared" ca="1" si="20"/>
        <v xml:space="preserve">UCF </v>
      </c>
      <c r="Z13" s="13">
        <f t="shared" ca="1" si="21"/>
        <v>21</v>
      </c>
      <c r="AA13" s="12" t="str">
        <f t="shared" ca="1" si="22"/>
        <v xml:space="preserve">UCF </v>
      </c>
      <c r="AB13" s="13">
        <f t="shared" ca="1" si="23"/>
        <v>2</v>
      </c>
      <c r="AC13" s="12" t="str">
        <f t="shared" ca="1" si="24"/>
        <v>Marshall</v>
      </c>
      <c r="AD13" s="13">
        <f t="shared" ca="1" si="25"/>
        <v>4</v>
      </c>
      <c r="AE13" s="12" t="str">
        <f t="shared" ca="1" si="26"/>
        <v xml:space="preserve">UCF </v>
      </c>
      <c r="AF13" s="13">
        <f t="shared" ca="1" si="27"/>
        <v>30</v>
      </c>
      <c r="AG13" s="12" t="str">
        <f t="shared" ca="1" si="28"/>
        <v xml:space="preserve">UCF </v>
      </c>
      <c r="AH13" s="13">
        <f t="shared" ca="1" si="29"/>
        <v>12</v>
      </c>
    </row>
    <row r="14" spans="1:34" ht="15" hidden="1" thickTop="1" x14ac:dyDescent="0.35">
      <c r="A14" s="4">
        <v>43823</v>
      </c>
      <c r="B14" s="5" t="s">
        <v>38</v>
      </c>
      <c r="C14" s="12" t="s">
        <v>39</v>
      </c>
      <c r="D14" s="13" t="s">
        <v>40</v>
      </c>
      <c r="E14" s="12" t="str">
        <f t="shared" ca="1" si="0"/>
        <v xml:space="preserve">Hawaii </v>
      </c>
      <c r="F14" s="13">
        <f t="shared" ca="1" si="1"/>
        <v>7</v>
      </c>
      <c r="G14" s="12" t="str">
        <f t="shared" ca="1" si="2"/>
        <v>BYU</v>
      </c>
      <c r="H14" s="13">
        <f t="shared" ca="1" si="3"/>
        <v>15</v>
      </c>
      <c r="I14" s="12" t="str">
        <f t="shared" ca="1" si="4"/>
        <v xml:space="preserve">Hawaii </v>
      </c>
      <c r="J14" s="13">
        <f t="shared" ca="1" si="5"/>
        <v>25</v>
      </c>
      <c r="K14" s="12" t="str">
        <f t="shared" ca="1" si="6"/>
        <v xml:space="preserve">Hawaii </v>
      </c>
      <c r="L14" s="13">
        <f t="shared" ca="1" si="7"/>
        <v>29</v>
      </c>
      <c r="M14" s="12" t="str">
        <f t="shared" ca="1" si="8"/>
        <v xml:space="preserve">Hawaii </v>
      </c>
      <c r="N14" s="13">
        <f t="shared" ca="1" si="9"/>
        <v>21</v>
      </c>
      <c r="O14" s="12" t="str">
        <f t="shared" ca="1" si="10"/>
        <v>BYU</v>
      </c>
      <c r="P14" s="13">
        <f t="shared" ca="1" si="11"/>
        <v>6</v>
      </c>
      <c r="Q14" s="12" t="str">
        <f t="shared" ca="1" si="12"/>
        <v xml:space="preserve">Hawaii </v>
      </c>
      <c r="R14" s="13">
        <f t="shared" ca="1" si="13"/>
        <v>6</v>
      </c>
      <c r="S14" s="12" t="str">
        <f t="shared" ca="1" si="14"/>
        <v xml:space="preserve">Hawaii </v>
      </c>
      <c r="T14" s="13">
        <f t="shared" ca="1" si="15"/>
        <v>1</v>
      </c>
      <c r="U14" s="12" t="str">
        <f t="shared" ca="1" si="16"/>
        <v xml:space="preserve">Hawaii </v>
      </c>
      <c r="V14" s="13">
        <f t="shared" ca="1" si="17"/>
        <v>7</v>
      </c>
      <c r="W14" s="12" t="str">
        <f t="shared" ca="1" si="18"/>
        <v xml:space="preserve">Hawaii </v>
      </c>
      <c r="X14" s="13">
        <f t="shared" ca="1" si="19"/>
        <v>4</v>
      </c>
      <c r="Y14" s="12" t="str">
        <f t="shared" ca="1" si="20"/>
        <v xml:space="preserve">Hawaii </v>
      </c>
      <c r="Z14" s="13">
        <f t="shared" ca="1" si="21"/>
        <v>23</v>
      </c>
      <c r="AA14" s="12" t="str">
        <f t="shared" ca="1" si="22"/>
        <v>BYU</v>
      </c>
      <c r="AB14" s="13">
        <f t="shared" ca="1" si="23"/>
        <v>35</v>
      </c>
      <c r="AC14" s="12" t="str">
        <f t="shared" ca="1" si="24"/>
        <v>BYU</v>
      </c>
      <c r="AD14" s="13">
        <f t="shared" ca="1" si="25"/>
        <v>16</v>
      </c>
      <c r="AE14" s="12" t="str">
        <f t="shared" ca="1" si="26"/>
        <v>BYU</v>
      </c>
      <c r="AF14" s="13">
        <f t="shared" ca="1" si="27"/>
        <v>19</v>
      </c>
      <c r="AG14" s="12" t="str">
        <f t="shared" ca="1" si="28"/>
        <v>BYU</v>
      </c>
      <c r="AH14" s="13">
        <f t="shared" ca="1" si="29"/>
        <v>4</v>
      </c>
    </row>
    <row r="15" spans="1:34" ht="15" hidden="1" thickTop="1" x14ac:dyDescent="0.35">
      <c r="A15" s="4">
        <v>43825</v>
      </c>
      <c r="B15" s="5" t="s">
        <v>41</v>
      </c>
      <c r="C15" s="12" t="s">
        <v>42</v>
      </c>
      <c r="D15" s="13" t="s">
        <v>43</v>
      </c>
      <c r="E15" s="12" t="str">
        <f t="shared" ca="1" si="0"/>
        <v>Louisiana Tech</v>
      </c>
      <c r="F15" s="13">
        <f t="shared" ca="1" si="1"/>
        <v>2</v>
      </c>
      <c r="G15" s="12" t="str">
        <f t="shared" ca="1" si="2"/>
        <v>Louisiana Tech</v>
      </c>
      <c r="H15" s="13">
        <f t="shared" ca="1" si="3"/>
        <v>6</v>
      </c>
      <c r="I15" s="12" t="str">
        <f t="shared" ca="1" si="4"/>
        <v xml:space="preserve">Miami (FL) </v>
      </c>
      <c r="J15" s="13">
        <f t="shared" ca="1" si="5"/>
        <v>32</v>
      </c>
      <c r="K15" s="12" t="str">
        <f t="shared" ca="1" si="6"/>
        <v xml:space="preserve">Miami (FL) </v>
      </c>
      <c r="L15" s="13">
        <f t="shared" ca="1" si="7"/>
        <v>36</v>
      </c>
      <c r="M15" s="12" t="str">
        <f t="shared" ca="1" si="8"/>
        <v xml:space="preserve">Miami (FL) </v>
      </c>
      <c r="N15" s="13">
        <f t="shared" ca="1" si="9"/>
        <v>2</v>
      </c>
      <c r="O15" s="12" t="str">
        <f t="shared" ca="1" si="10"/>
        <v xml:space="preserve">Miami (FL) </v>
      </c>
      <c r="P15" s="13">
        <f t="shared" ca="1" si="11"/>
        <v>2</v>
      </c>
      <c r="Q15" s="12" t="str">
        <f t="shared" ca="1" si="12"/>
        <v xml:space="preserve">Miami (FL) </v>
      </c>
      <c r="R15" s="13">
        <f t="shared" ca="1" si="13"/>
        <v>9</v>
      </c>
      <c r="S15" s="12" t="str">
        <f t="shared" ca="1" si="14"/>
        <v>Louisiana Tech</v>
      </c>
      <c r="T15" s="13">
        <f t="shared" ca="1" si="15"/>
        <v>13</v>
      </c>
      <c r="U15" s="12" t="str">
        <f t="shared" ca="1" si="16"/>
        <v>Louisiana Tech</v>
      </c>
      <c r="V15" s="13">
        <f t="shared" ca="1" si="17"/>
        <v>9</v>
      </c>
      <c r="W15" s="12" t="str">
        <f t="shared" ca="1" si="18"/>
        <v>Louisiana Tech</v>
      </c>
      <c r="X15" s="13">
        <f t="shared" ca="1" si="19"/>
        <v>1</v>
      </c>
      <c r="Y15" s="12" t="str">
        <f t="shared" ca="1" si="20"/>
        <v>Louisiana Tech</v>
      </c>
      <c r="Z15" s="13">
        <f t="shared" ca="1" si="21"/>
        <v>12</v>
      </c>
      <c r="AA15" s="12" t="str">
        <f t="shared" ca="1" si="22"/>
        <v xml:space="preserve">Miami (FL) </v>
      </c>
      <c r="AB15" s="13">
        <f t="shared" ca="1" si="23"/>
        <v>36</v>
      </c>
      <c r="AC15" s="12" t="str">
        <f t="shared" ca="1" si="24"/>
        <v xml:space="preserve">Miami (FL) </v>
      </c>
      <c r="AD15" s="13">
        <f t="shared" ca="1" si="25"/>
        <v>11</v>
      </c>
      <c r="AE15" s="12" t="str">
        <f t="shared" ca="1" si="26"/>
        <v xml:space="preserve">Miami (FL) </v>
      </c>
      <c r="AF15" s="13">
        <f t="shared" ca="1" si="27"/>
        <v>8</v>
      </c>
      <c r="AG15" s="12" t="str">
        <f t="shared" ca="1" si="28"/>
        <v>Louisiana Tech</v>
      </c>
      <c r="AH15" s="13">
        <f t="shared" ca="1" si="29"/>
        <v>16</v>
      </c>
    </row>
    <row r="16" spans="1:34" ht="15" hidden="1" thickTop="1" x14ac:dyDescent="0.35">
      <c r="A16" s="4">
        <v>43825</v>
      </c>
      <c r="B16" s="5" t="s">
        <v>44</v>
      </c>
      <c r="C16" s="12" t="s">
        <v>45</v>
      </c>
      <c r="D16" s="13" t="s">
        <v>46</v>
      </c>
      <c r="E16" s="12" t="str">
        <f t="shared" ca="1" si="0"/>
        <v xml:space="preserve">Pitt </v>
      </c>
      <c r="F16" s="13">
        <f t="shared" ca="1" si="1"/>
        <v>24</v>
      </c>
      <c r="G16" s="12" t="str">
        <f t="shared" ca="1" si="2"/>
        <v xml:space="preserve">Pitt </v>
      </c>
      <c r="H16" s="13">
        <f t="shared" ca="1" si="3"/>
        <v>35</v>
      </c>
      <c r="I16" s="12" t="str">
        <f t="shared" ca="1" si="4"/>
        <v xml:space="preserve">Pitt </v>
      </c>
      <c r="J16" s="13">
        <f t="shared" ca="1" si="5"/>
        <v>35</v>
      </c>
      <c r="K16" s="12" t="str">
        <f t="shared" ca="1" si="6"/>
        <v xml:space="preserve">Pitt </v>
      </c>
      <c r="L16" s="13">
        <f t="shared" ca="1" si="7"/>
        <v>33</v>
      </c>
      <c r="M16" s="12" t="str">
        <f t="shared" ca="1" si="8"/>
        <v xml:space="preserve">Pitt </v>
      </c>
      <c r="N16" s="13">
        <f t="shared" ca="1" si="9"/>
        <v>31</v>
      </c>
      <c r="O16" s="12" t="str">
        <f t="shared" ca="1" si="10"/>
        <v xml:space="preserve">Pitt </v>
      </c>
      <c r="P16" s="13">
        <f t="shared" ca="1" si="11"/>
        <v>33</v>
      </c>
      <c r="Q16" s="12" t="str">
        <f t="shared" ca="1" si="12"/>
        <v xml:space="preserve">Pitt </v>
      </c>
      <c r="R16" s="13">
        <f t="shared" ca="1" si="13"/>
        <v>15</v>
      </c>
      <c r="S16" s="12" t="str">
        <f t="shared" ca="1" si="14"/>
        <v xml:space="preserve">Pitt </v>
      </c>
      <c r="T16" s="13">
        <f t="shared" ca="1" si="15"/>
        <v>36</v>
      </c>
      <c r="U16" s="12" t="str">
        <f t="shared" ca="1" si="16"/>
        <v xml:space="preserve">Pitt </v>
      </c>
      <c r="V16" s="13">
        <f t="shared" ca="1" si="17"/>
        <v>35</v>
      </c>
      <c r="W16" s="12" t="str">
        <f t="shared" ca="1" si="18"/>
        <v xml:space="preserve">Pitt </v>
      </c>
      <c r="X16" s="13">
        <f t="shared" ca="1" si="19"/>
        <v>25</v>
      </c>
      <c r="Y16" s="12" t="str">
        <f t="shared" ca="1" si="20"/>
        <v>Eastern Michigan</v>
      </c>
      <c r="Z16" s="13">
        <f t="shared" ca="1" si="21"/>
        <v>30</v>
      </c>
      <c r="AA16" s="12" t="str">
        <f t="shared" ca="1" si="22"/>
        <v xml:space="preserve">Pitt </v>
      </c>
      <c r="AB16" s="13">
        <f t="shared" ca="1" si="23"/>
        <v>3</v>
      </c>
      <c r="AC16" s="12" t="str">
        <f t="shared" ca="1" si="24"/>
        <v>Eastern Michigan</v>
      </c>
      <c r="AD16" s="13">
        <f t="shared" ca="1" si="25"/>
        <v>20</v>
      </c>
      <c r="AE16" s="12" t="str">
        <f t="shared" ca="1" si="26"/>
        <v xml:space="preserve">Pitt </v>
      </c>
      <c r="AF16" s="13">
        <f t="shared" ca="1" si="27"/>
        <v>34</v>
      </c>
      <c r="AG16" s="12" t="str">
        <f t="shared" ca="1" si="28"/>
        <v xml:space="preserve">Pitt </v>
      </c>
      <c r="AH16" s="13">
        <f t="shared" ca="1" si="29"/>
        <v>32</v>
      </c>
    </row>
    <row r="17" spans="1:34" ht="15" hidden="1" thickTop="1" x14ac:dyDescent="0.35">
      <c r="A17" s="4">
        <v>43826</v>
      </c>
      <c r="B17" s="5" t="s">
        <v>47</v>
      </c>
      <c r="C17" s="12" t="s">
        <v>48</v>
      </c>
      <c r="D17" s="13" t="s">
        <v>49</v>
      </c>
      <c r="E17" s="12" t="str">
        <f t="shared" ca="1" si="0"/>
        <v xml:space="preserve">North Carolina </v>
      </c>
      <c r="F17" s="13">
        <f t="shared" ca="1" si="1"/>
        <v>27</v>
      </c>
      <c r="G17" s="12" t="str">
        <f t="shared" ca="1" si="2"/>
        <v xml:space="preserve">North Carolina </v>
      </c>
      <c r="H17" s="13">
        <f t="shared" ca="1" si="3"/>
        <v>18</v>
      </c>
      <c r="I17" s="12" t="str">
        <f t="shared" ca="1" si="4"/>
        <v>Temple</v>
      </c>
      <c r="J17" s="13">
        <f t="shared" ca="1" si="5"/>
        <v>10</v>
      </c>
      <c r="K17" s="12" t="str">
        <f t="shared" ca="1" si="6"/>
        <v xml:space="preserve">North Carolina </v>
      </c>
      <c r="L17" s="13">
        <f t="shared" ca="1" si="7"/>
        <v>27</v>
      </c>
      <c r="M17" s="12" t="str">
        <f t="shared" ca="1" si="8"/>
        <v xml:space="preserve">North Carolina </v>
      </c>
      <c r="N17" s="13">
        <f t="shared" ca="1" si="9"/>
        <v>7</v>
      </c>
      <c r="O17" s="12" t="str">
        <f t="shared" ca="1" si="10"/>
        <v xml:space="preserve">North Carolina </v>
      </c>
      <c r="P17" s="13">
        <f t="shared" ca="1" si="11"/>
        <v>1</v>
      </c>
      <c r="Q17" s="12" t="str">
        <f t="shared" ca="1" si="12"/>
        <v xml:space="preserve">North Carolina </v>
      </c>
      <c r="R17" s="13">
        <f t="shared" ca="1" si="13"/>
        <v>4</v>
      </c>
      <c r="S17" s="12" t="str">
        <f t="shared" ca="1" si="14"/>
        <v xml:space="preserve">North Carolina </v>
      </c>
      <c r="T17" s="13">
        <f t="shared" ca="1" si="15"/>
        <v>21</v>
      </c>
      <c r="U17" s="12" t="str">
        <f t="shared" ca="1" si="16"/>
        <v>Temple</v>
      </c>
      <c r="V17" s="13">
        <f t="shared" ca="1" si="17"/>
        <v>4</v>
      </c>
      <c r="W17" s="12" t="str">
        <f t="shared" ca="1" si="18"/>
        <v xml:space="preserve">North Carolina </v>
      </c>
      <c r="X17" s="13">
        <f t="shared" ca="1" si="19"/>
        <v>8</v>
      </c>
      <c r="Y17" s="12" t="str">
        <f t="shared" ca="1" si="20"/>
        <v xml:space="preserve">North Carolina </v>
      </c>
      <c r="Z17" s="13">
        <f t="shared" ca="1" si="21"/>
        <v>6</v>
      </c>
      <c r="AA17" s="12" t="str">
        <f t="shared" ca="1" si="22"/>
        <v>Temple</v>
      </c>
      <c r="AB17" s="13">
        <f t="shared" ca="1" si="23"/>
        <v>4</v>
      </c>
      <c r="AC17" s="12" t="str">
        <f t="shared" ca="1" si="24"/>
        <v>Temple</v>
      </c>
      <c r="AD17" s="13">
        <f t="shared" ca="1" si="25"/>
        <v>8</v>
      </c>
      <c r="AE17" s="12" t="str">
        <f t="shared" ca="1" si="26"/>
        <v xml:space="preserve">North Carolina </v>
      </c>
      <c r="AF17" s="13">
        <f t="shared" ca="1" si="27"/>
        <v>9</v>
      </c>
      <c r="AG17" s="12" t="str">
        <f t="shared" ca="1" si="28"/>
        <v>Temple</v>
      </c>
      <c r="AH17" s="13">
        <f t="shared" ca="1" si="29"/>
        <v>24</v>
      </c>
    </row>
    <row r="18" spans="1:34" ht="15" hidden="1" thickTop="1" x14ac:dyDescent="0.35">
      <c r="A18" s="4">
        <v>43826</v>
      </c>
      <c r="B18" s="5" t="s">
        <v>50</v>
      </c>
      <c r="C18" s="12" t="s">
        <v>51</v>
      </c>
      <c r="D18" s="13" t="s">
        <v>52</v>
      </c>
      <c r="E18" s="12" t="str">
        <f t="shared" ca="1" si="0"/>
        <v>Michigan State</v>
      </c>
      <c r="F18" s="13">
        <f t="shared" ca="1" si="1"/>
        <v>15</v>
      </c>
      <c r="G18" s="12" t="str">
        <f t="shared" ca="1" si="2"/>
        <v xml:space="preserve">Wake Forest </v>
      </c>
      <c r="H18" s="13">
        <f t="shared" ca="1" si="3"/>
        <v>12</v>
      </c>
      <c r="I18" s="12" t="str">
        <f t="shared" ca="1" si="4"/>
        <v xml:space="preserve">Wake Forest </v>
      </c>
      <c r="J18" s="13">
        <f t="shared" ca="1" si="5"/>
        <v>29</v>
      </c>
      <c r="K18" s="12" t="str">
        <f t="shared" ca="1" si="6"/>
        <v>Michigan State</v>
      </c>
      <c r="L18" s="13">
        <f t="shared" ca="1" si="7"/>
        <v>22</v>
      </c>
      <c r="M18" s="12" t="str">
        <f t="shared" ca="1" si="8"/>
        <v xml:space="preserve">Wake Forest </v>
      </c>
      <c r="N18" s="13">
        <f t="shared" ca="1" si="9"/>
        <v>11</v>
      </c>
      <c r="O18" s="12" t="str">
        <f t="shared" ca="1" si="10"/>
        <v>Michigan State</v>
      </c>
      <c r="P18" s="13">
        <f t="shared" ca="1" si="11"/>
        <v>12</v>
      </c>
      <c r="Q18" s="12" t="str">
        <f t="shared" ca="1" si="12"/>
        <v>Michigan State</v>
      </c>
      <c r="R18" s="13">
        <f t="shared" ca="1" si="13"/>
        <v>1</v>
      </c>
      <c r="S18" s="12" t="str">
        <f t="shared" ca="1" si="14"/>
        <v>Michigan State</v>
      </c>
      <c r="T18" s="13">
        <f t="shared" ca="1" si="15"/>
        <v>12</v>
      </c>
      <c r="U18" s="12" t="str">
        <f t="shared" ca="1" si="16"/>
        <v xml:space="preserve">Wake Forest </v>
      </c>
      <c r="V18" s="13">
        <f t="shared" ca="1" si="17"/>
        <v>21</v>
      </c>
      <c r="W18" s="12" t="str">
        <f t="shared" ca="1" si="18"/>
        <v>Michigan State</v>
      </c>
      <c r="X18" s="13">
        <f t="shared" ca="1" si="19"/>
        <v>11</v>
      </c>
      <c r="Y18" s="12" t="str">
        <f t="shared" ca="1" si="20"/>
        <v>Michigan State</v>
      </c>
      <c r="Z18" s="13">
        <f t="shared" ca="1" si="21"/>
        <v>34</v>
      </c>
      <c r="AA18" s="12" t="str">
        <f t="shared" ca="1" si="22"/>
        <v>Michigan State</v>
      </c>
      <c r="AB18" s="13">
        <f t="shared" ca="1" si="23"/>
        <v>37</v>
      </c>
      <c r="AC18" s="12" t="str">
        <f t="shared" ca="1" si="24"/>
        <v xml:space="preserve">Wake Forest </v>
      </c>
      <c r="AD18" s="13">
        <f t="shared" ca="1" si="25"/>
        <v>9</v>
      </c>
      <c r="AE18" s="12" t="str">
        <f t="shared" ca="1" si="26"/>
        <v>Michigan State</v>
      </c>
      <c r="AF18" s="13">
        <f t="shared" ca="1" si="27"/>
        <v>1</v>
      </c>
      <c r="AG18" s="12" t="str">
        <f t="shared" ca="1" si="28"/>
        <v xml:space="preserve">Wake Forest </v>
      </c>
      <c r="AH18" s="13">
        <f t="shared" ca="1" si="29"/>
        <v>9</v>
      </c>
    </row>
    <row r="19" spans="1:34" ht="15" hidden="1" thickTop="1" x14ac:dyDescent="0.35">
      <c r="A19" s="4">
        <v>43826</v>
      </c>
      <c r="B19" s="5" t="s">
        <v>53</v>
      </c>
      <c r="C19" s="12" t="s">
        <v>54</v>
      </c>
      <c r="D19" s="13" t="s">
        <v>55</v>
      </c>
      <c r="E19" s="12" t="str">
        <f t="shared" ca="1" si="0"/>
        <v>Texas A&amp;M</v>
      </c>
      <c r="F19" s="13">
        <f t="shared" ca="1" si="1"/>
        <v>32</v>
      </c>
      <c r="G19" s="12" t="str">
        <f t="shared" ca="1" si="2"/>
        <v>Texas A&amp;M</v>
      </c>
      <c r="H19" s="13">
        <f t="shared" ca="1" si="3"/>
        <v>28</v>
      </c>
      <c r="I19" s="12" t="str">
        <f t="shared" ca="1" si="4"/>
        <v>Texas A&amp;M</v>
      </c>
      <c r="J19" s="13">
        <f t="shared" ca="1" si="5"/>
        <v>31</v>
      </c>
      <c r="K19" s="12" t="str">
        <f t="shared" ca="1" si="6"/>
        <v>Texas A&amp;M</v>
      </c>
      <c r="L19" s="13">
        <f t="shared" ca="1" si="7"/>
        <v>19</v>
      </c>
      <c r="M19" s="12" t="str">
        <f t="shared" ca="1" si="8"/>
        <v xml:space="preserve">Oklahoma State </v>
      </c>
      <c r="N19" s="13">
        <f t="shared" ca="1" si="9"/>
        <v>8</v>
      </c>
      <c r="O19" s="12" t="str">
        <f t="shared" ca="1" si="10"/>
        <v>Texas A&amp;M</v>
      </c>
      <c r="P19" s="13">
        <f t="shared" ca="1" si="11"/>
        <v>25</v>
      </c>
      <c r="Q19" s="12" t="str">
        <f t="shared" ca="1" si="12"/>
        <v xml:space="preserve">Oklahoma State </v>
      </c>
      <c r="R19" s="13">
        <f t="shared" ca="1" si="13"/>
        <v>5</v>
      </c>
      <c r="S19" s="12" t="str">
        <f t="shared" ca="1" si="14"/>
        <v>Texas A&amp;M</v>
      </c>
      <c r="T19" s="13">
        <f t="shared" ca="1" si="15"/>
        <v>14</v>
      </c>
      <c r="U19" s="12" t="str">
        <f t="shared" ca="1" si="16"/>
        <v xml:space="preserve">Oklahoma State </v>
      </c>
      <c r="V19" s="13">
        <f t="shared" ca="1" si="17"/>
        <v>13</v>
      </c>
      <c r="W19" s="12" t="str">
        <f t="shared" ca="1" si="18"/>
        <v xml:space="preserve">Oklahoma State </v>
      </c>
      <c r="X19" s="13">
        <f t="shared" ca="1" si="19"/>
        <v>12</v>
      </c>
      <c r="Y19" s="12" t="str">
        <f t="shared" ca="1" si="20"/>
        <v xml:space="preserve">Oklahoma State </v>
      </c>
      <c r="Z19" s="13">
        <f t="shared" ca="1" si="21"/>
        <v>35</v>
      </c>
      <c r="AA19" s="12" t="str">
        <f t="shared" ca="1" si="22"/>
        <v xml:space="preserve">Oklahoma State </v>
      </c>
      <c r="AB19" s="13">
        <f t="shared" ca="1" si="23"/>
        <v>38</v>
      </c>
      <c r="AC19" s="12" t="str">
        <f t="shared" ca="1" si="24"/>
        <v>Texas A&amp;M</v>
      </c>
      <c r="AD19" s="13">
        <f t="shared" ca="1" si="25"/>
        <v>13</v>
      </c>
      <c r="AE19" s="12" t="str">
        <f t="shared" ca="1" si="26"/>
        <v>Texas A&amp;M</v>
      </c>
      <c r="AF19" s="13">
        <f t="shared" ca="1" si="27"/>
        <v>25</v>
      </c>
      <c r="AG19" s="12" t="str">
        <f t="shared" ca="1" si="28"/>
        <v xml:space="preserve">Oklahoma State </v>
      </c>
      <c r="AH19" s="13">
        <f t="shared" ca="1" si="29"/>
        <v>14</v>
      </c>
    </row>
    <row r="20" spans="1:34" ht="15" hidden="1" thickTop="1" x14ac:dyDescent="0.35">
      <c r="A20" s="4">
        <v>43826</v>
      </c>
      <c r="B20" s="5" t="s">
        <v>56</v>
      </c>
      <c r="C20" s="12" t="s">
        <v>57</v>
      </c>
      <c r="D20" s="13" t="s">
        <v>58</v>
      </c>
      <c r="E20" s="12" t="str">
        <f t="shared" ca="1" si="0"/>
        <v>Iowa</v>
      </c>
      <c r="F20" s="13">
        <f t="shared" ca="1" si="1"/>
        <v>22</v>
      </c>
      <c r="G20" s="12" t="str">
        <f t="shared" ca="1" si="2"/>
        <v>Iowa</v>
      </c>
      <c r="H20" s="13">
        <f t="shared" ca="1" si="3"/>
        <v>16</v>
      </c>
      <c r="I20" s="12" t="str">
        <f t="shared" ca="1" si="4"/>
        <v>Iowa</v>
      </c>
      <c r="J20" s="13">
        <f t="shared" ca="1" si="5"/>
        <v>15</v>
      </c>
      <c r="K20" s="12" t="str">
        <f t="shared" ca="1" si="6"/>
        <v xml:space="preserve">USC </v>
      </c>
      <c r="L20" s="13">
        <f t="shared" ca="1" si="7"/>
        <v>23</v>
      </c>
      <c r="M20" s="12" t="str">
        <f t="shared" ca="1" si="8"/>
        <v>Iowa</v>
      </c>
      <c r="N20" s="13">
        <f t="shared" ca="1" si="9"/>
        <v>3</v>
      </c>
      <c r="O20" s="12" t="str">
        <f t="shared" ca="1" si="10"/>
        <v xml:space="preserve">USC </v>
      </c>
      <c r="P20" s="13">
        <f t="shared" ca="1" si="11"/>
        <v>13</v>
      </c>
      <c r="Q20" s="12" t="str">
        <f t="shared" ca="1" si="12"/>
        <v>Iowa</v>
      </c>
      <c r="R20" s="13">
        <f t="shared" ca="1" si="13"/>
        <v>13</v>
      </c>
      <c r="S20" s="12" t="str">
        <f t="shared" ca="1" si="14"/>
        <v>Iowa</v>
      </c>
      <c r="T20" s="13">
        <f t="shared" ca="1" si="15"/>
        <v>6</v>
      </c>
      <c r="U20" s="12" t="str">
        <f t="shared" ca="1" si="16"/>
        <v>Iowa</v>
      </c>
      <c r="V20" s="13">
        <f t="shared" ca="1" si="17"/>
        <v>6</v>
      </c>
      <c r="W20" s="12" t="str">
        <f t="shared" ca="1" si="18"/>
        <v>Iowa</v>
      </c>
      <c r="X20" s="13">
        <f t="shared" ca="1" si="19"/>
        <v>31</v>
      </c>
      <c r="Y20" s="12" t="str">
        <f t="shared" ca="1" si="20"/>
        <v>Iowa</v>
      </c>
      <c r="Z20" s="13">
        <f t="shared" ca="1" si="21"/>
        <v>36</v>
      </c>
      <c r="AA20" s="12" t="str">
        <f t="shared" ca="1" si="22"/>
        <v xml:space="preserve">USC </v>
      </c>
      <c r="AB20" s="13">
        <f t="shared" ca="1" si="23"/>
        <v>40</v>
      </c>
      <c r="AC20" s="12" t="str">
        <f t="shared" ca="1" si="24"/>
        <v>Iowa</v>
      </c>
      <c r="AD20" s="13">
        <f t="shared" ca="1" si="25"/>
        <v>25</v>
      </c>
      <c r="AE20" s="12" t="str">
        <f t="shared" ca="1" si="26"/>
        <v>Iowa</v>
      </c>
      <c r="AF20" s="13">
        <f t="shared" ca="1" si="27"/>
        <v>10</v>
      </c>
      <c r="AG20" s="12" t="str">
        <f t="shared" ca="1" si="28"/>
        <v>Iowa</v>
      </c>
      <c r="AH20" s="13">
        <f t="shared" ca="1" si="29"/>
        <v>34</v>
      </c>
    </row>
    <row r="21" spans="1:34" ht="15" hidden="1" thickTop="1" x14ac:dyDescent="0.35">
      <c r="A21" s="4">
        <v>43826</v>
      </c>
      <c r="B21" s="5" t="s">
        <v>59</v>
      </c>
      <c r="C21" s="12" t="s">
        <v>60</v>
      </c>
      <c r="D21" s="13" t="s">
        <v>61</v>
      </c>
      <c r="E21" s="12" t="str">
        <f t="shared" ca="1" si="0"/>
        <v xml:space="preserve">Air Force </v>
      </c>
      <c r="F21" s="13">
        <f t="shared" ca="1" si="1"/>
        <v>19</v>
      </c>
      <c r="G21" s="12" t="str">
        <f t="shared" ca="1" si="2"/>
        <v xml:space="preserve">Air Force </v>
      </c>
      <c r="H21" s="13">
        <f t="shared" ca="1" si="3"/>
        <v>11</v>
      </c>
      <c r="I21" s="12" t="str">
        <f t="shared" ca="1" si="4"/>
        <v>Washington State</v>
      </c>
      <c r="J21" s="13">
        <f t="shared" ca="1" si="5"/>
        <v>17</v>
      </c>
      <c r="K21" s="12" t="str">
        <f t="shared" ca="1" si="6"/>
        <v xml:space="preserve">Air Force </v>
      </c>
      <c r="L21" s="13">
        <f t="shared" ca="1" si="7"/>
        <v>14</v>
      </c>
      <c r="M21" s="12" t="str">
        <f t="shared" ca="1" si="8"/>
        <v xml:space="preserve">Air Force </v>
      </c>
      <c r="N21" s="13">
        <f t="shared" ca="1" si="9"/>
        <v>5</v>
      </c>
      <c r="O21" s="12" t="str">
        <f t="shared" ca="1" si="10"/>
        <v xml:space="preserve">Air Force </v>
      </c>
      <c r="P21" s="13">
        <f t="shared" ca="1" si="11"/>
        <v>3</v>
      </c>
      <c r="Q21" s="12" t="str">
        <f t="shared" ca="1" si="12"/>
        <v>Washington State</v>
      </c>
      <c r="R21" s="13">
        <f t="shared" ca="1" si="13"/>
        <v>2</v>
      </c>
      <c r="S21" s="12" t="str">
        <f t="shared" ca="1" si="14"/>
        <v xml:space="preserve">Air Force </v>
      </c>
      <c r="T21" s="13">
        <f t="shared" ca="1" si="15"/>
        <v>10</v>
      </c>
      <c r="U21" s="12" t="str">
        <f t="shared" ca="1" si="16"/>
        <v xml:space="preserve">Air Force </v>
      </c>
      <c r="V21" s="13">
        <f t="shared" ca="1" si="17"/>
        <v>14</v>
      </c>
      <c r="W21" s="12" t="str">
        <f t="shared" ca="1" si="18"/>
        <v>Washington State</v>
      </c>
      <c r="X21" s="13">
        <f t="shared" ca="1" si="19"/>
        <v>13</v>
      </c>
      <c r="Y21" s="12" t="str">
        <f t="shared" ca="1" si="20"/>
        <v xml:space="preserve">Air Force </v>
      </c>
      <c r="Z21" s="13">
        <f t="shared" ca="1" si="21"/>
        <v>20</v>
      </c>
      <c r="AA21" s="12" t="str">
        <f t="shared" ca="1" si="22"/>
        <v>Washington State</v>
      </c>
      <c r="AB21" s="13">
        <f t="shared" ca="1" si="23"/>
        <v>39</v>
      </c>
      <c r="AC21" s="12" t="str">
        <f t="shared" ca="1" si="24"/>
        <v xml:space="preserve">Air Force </v>
      </c>
      <c r="AD21" s="13">
        <f t="shared" ca="1" si="25"/>
        <v>34</v>
      </c>
      <c r="AE21" s="12" t="str">
        <f t="shared" ca="1" si="26"/>
        <v>Washington State</v>
      </c>
      <c r="AF21" s="13">
        <f t="shared" ca="1" si="27"/>
        <v>24</v>
      </c>
      <c r="AG21" s="12" t="str">
        <f t="shared" ca="1" si="28"/>
        <v xml:space="preserve">Air Force </v>
      </c>
      <c r="AH21" s="13">
        <f t="shared" ca="1" si="29"/>
        <v>5</v>
      </c>
    </row>
    <row r="22" spans="1:34" ht="15" hidden="1" thickTop="1" x14ac:dyDescent="0.35">
      <c r="A22" s="4">
        <v>43827</v>
      </c>
      <c r="B22" s="5" t="s">
        <v>62</v>
      </c>
      <c r="C22" s="12" t="s">
        <v>63</v>
      </c>
      <c r="D22" s="13" t="s">
        <v>64</v>
      </c>
      <c r="E22" s="12" t="str">
        <f t="shared" ca="1" si="0"/>
        <v xml:space="preserve">Notre Dame </v>
      </c>
      <c r="F22" s="13">
        <f t="shared" ca="1" si="1"/>
        <v>34</v>
      </c>
      <c r="G22" s="12" t="str">
        <f t="shared" ca="1" si="2"/>
        <v xml:space="preserve">Notre Dame </v>
      </c>
      <c r="H22" s="13">
        <f t="shared" ca="1" si="3"/>
        <v>17</v>
      </c>
      <c r="I22" s="12" t="str">
        <f t="shared" ca="1" si="4"/>
        <v xml:space="preserve">Notre Dame </v>
      </c>
      <c r="J22" s="13">
        <f t="shared" ca="1" si="5"/>
        <v>38</v>
      </c>
      <c r="K22" s="12" t="str">
        <f t="shared" ca="1" si="6"/>
        <v xml:space="preserve">Notre Dame </v>
      </c>
      <c r="L22" s="13">
        <f t="shared" ca="1" si="7"/>
        <v>15</v>
      </c>
      <c r="M22" s="12" t="str">
        <f t="shared" ca="1" si="8"/>
        <v xml:space="preserve">Notre Dame </v>
      </c>
      <c r="N22" s="13">
        <f t="shared" ca="1" si="9"/>
        <v>38</v>
      </c>
      <c r="O22" s="12" t="str">
        <f t="shared" ca="1" si="10"/>
        <v xml:space="preserve">Notre Dame </v>
      </c>
      <c r="P22" s="13">
        <f t="shared" ca="1" si="11"/>
        <v>21</v>
      </c>
      <c r="Q22" s="12" t="str">
        <f t="shared" ca="1" si="12"/>
        <v xml:space="preserve">Notre Dame </v>
      </c>
      <c r="R22" s="13">
        <f t="shared" ca="1" si="13"/>
        <v>34</v>
      </c>
      <c r="S22" s="12" t="str">
        <f t="shared" ca="1" si="14"/>
        <v xml:space="preserve">Notre Dame </v>
      </c>
      <c r="T22" s="13">
        <f t="shared" ca="1" si="15"/>
        <v>24</v>
      </c>
      <c r="U22" s="12" t="str">
        <f t="shared" ca="1" si="16"/>
        <v xml:space="preserve">Notre Dame </v>
      </c>
      <c r="V22" s="13">
        <f t="shared" ca="1" si="17"/>
        <v>26</v>
      </c>
      <c r="W22" s="12" t="str">
        <f t="shared" ca="1" si="18"/>
        <v xml:space="preserve">Notre Dame </v>
      </c>
      <c r="X22" s="13">
        <f t="shared" ca="1" si="19"/>
        <v>36</v>
      </c>
      <c r="Y22" s="12" t="str">
        <f t="shared" ca="1" si="20"/>
        <v xml:space="preserve">Notre Dame </v>
      </c>
      <c r="Z22" s="13">
        <f t="shared" ca="1" si="21"/>
        <v>37</v>
      </c>
      <c r="AA22" s="12" t="str">
        <f t="shared" ca="1" si="22"/>
        <v xml:space="preserve">Notre Dame </v>
      </c>
      <c r="AB22" s="13">
        <f t="shared" ca="1" si="23"/>
        <v>5</v>
      </c>
      <c r="AC22" s="12" t="str">
        <f t="shared" ca="1" si="24"/>
        <v xml:space="preserve">Notre Dame </v>
      </c>
      <c r="AD22" s="13">
        <f t="shared" ca="1" si="25"/>
        <v>38</v>
      </c>
      <c r="AE22" s="12" t="str">
        <f t="shared" ca="1" si="26"/>
        <v xml:space="preserve">Notre Dame </v>
      </c>
      <c r="AF22" s="13">
        <f t="shared" ca="1" si="27"/>
        <v>36</v>
      </c>
      <c r="AG22" s="12" t="str">
        <f t="shared" ca="1" si="28"/>
        <v xml:space="preserve">Notre Dame </v>
      </c>
      <c r="AH22" s="13">
        <f t="shared" ca="1" si="29"/>
        <v>36</v>
      </c>
    </row>
    <row r="23" spans="1:34" ht="15" hidden="1" thickTop="1" x14ac:dyDescent="0.35">
      <c r="A23" s="4">
        <v>43827</v>
      </c>
      <c r="B23" s="5" t="s">
        <v>65</v>
      </c>
      <c r="C23" s="12" t="s">
        <v>66</v>
      </c>
      <c r="D23" s="13" t="s">
        <v>67</v>
      </c>
      <c r="E23" s="12" t="str">
        <f t="shared" ca="1" si="0"/>
        <v xml:space="preserve">Penn State </v>
      </c>
      <c r="F23" s="13">
        <f t="shared" ca="1" si="1"/>
        <v>12</v>
      </c>
      <c r="G23" s="12" t="str">
        <f t="shared" ca="1" si="2"/>
        <v xml:space="preserve">Penn State </v>
      </c>
      <c r="H23" s="13">
        <f t="shared" ca="1" si="3"/>
        <v>23</v>
      </c>
      <c r="I23" s="12" t="str">
        <f t="shared" ca="1" si="4"/>
        <v xml:space="preserve">Penn State </v>
      </c>
      <c r="J23" s="13">
        <f t="shared" ca="1" si="5"/>
        <v>40</v>
      </c>
      <c r="K23" s="12" t="str">
        <f t="shared" ca="1" si="6"/>
        <v xml:space="preserve">Penn State </v>
      </c>
      <c r="L23" s="13">
        <f t="shared" ca="1" si="7"/>
        <v>38</v>
      </c>
      <c r="M23" s="12" t="str">
        <f t="shared" ca="1" si="8"/>
        <v xml:space="preserve">Penn State </v>
      </c>
      <c r="N23" s="13">
        <f t="shared" ca="1" si="9"/>
        <v>34</v>
      </c>
      <c r="O23" s="12" t="str">
        <f t="shared" ca="1" si="10"/>
        <v xml:space="preserve">Penn State </v>
      </c>
      <c r="P23" s="13">
        <f t="shared" ca="1" si="11"/>
        <v>22</v>
      </c>
      <c r="Q23" s="12" t="str">
        <f t="shared" ca="1" si="12"/>
        <v xml:space="preserve">Penn State </v>
      </c>
      <c r="R23" s="13">
        <f t="shared" ca="1" si="13"/>
        <v>38</v>
      </c>
      <c r="S23" s="12" t="str">
        <f t="shared" ca="1" si="14"/>
        <v xml:space="preserve">Penn State </v>
      </c>
      <c r="T23" s="13">
        <f t="shared" ca="1" si="15"/>
        <v>29</v>
      </c>
      <c r="U23" s="12" t="str">
        <f t="shared" ca="1" si="16"/>
        <v xml:space="preserve">Penn State </v>
      </c>
      <c r="V23" s="13">
        <f t="shared" ca="1" si="17"/>
        <v>30</v>
      </c>
      <c r="W23" s="12" t="str">
        <f t="shared" ca="1" si="18"/>
        <v xml:space="preserve">Penn State </v>
      </c>
      <c r="X23" s="13">
        <f t="shared" ca="1" si="19"/>
        <v>40</v>
      </c>
      <c r="Y23" s="12" t="str">
        <f t="shared" ca="1" si="20"/>
        <v xml:space="preserve">Penn State </v>
      </c>
      <c r="Z23" s="13">
        <f t="shared" ca="1" si="21"/>
        <v>38</v>
      </c>
      <c r="AA23" s="12" t="str">
        <f t="shared" ca="1" si="22"/>
        <v xml:space="preserve">Penn State </v>
      </c>
      <c r="AB23" s="13">
        <f t="shared" ca="1" si="23"/>
        <v>6</v>
      </c>
      <c r="AC23" s="12" t="str">
        <f t="shared" ca="1" si="24"/>
        <v xml:space="preserve">Penn State </v>
      </c>
      <c r="AD23" s="13">
        <f t="shared" ca="1" si="25"/>
        <v>39</v>
      </c>
      <c r="AE23" s="12" t="str">
        <f t="shared" ca="1" si="26"/>
        <v xml:space="preserve">Penn State </v>
      </c>
      <c r="AF23" s="13">
        <f t="shared" ca="1" si="27"/>
        <v>37</v>
      </c>
      <c r="AG23" s="12" t="str">
        <f t="shared" ca="1" si="28"/>
        <v xml:space="preserve">Penn State </v>
      </c>
      <c r="AH23" s="13">
        <f t="shared" ca="1" si="29"/>
        <v>39</v>
      </c>
    </row>
    <row r="24" spans="1:34" ht="15" hidden="1" thickTop="1" x14ac:dyDescent="0.35">
      <c r="A24" s="4">
        <v>43827</v>
      </c>
      <c r="B24" s="5" t="s">
        <v>68</v>
      </c>
      <c r="C24" s="12" t="s">
        <v>69</v>
      </c>
      <c r="D24" s="13" t="s">
        <v>70</v>
      </c>
      <c r="E24" s="12" t="str">
        <f t="shared" ca="1" si="0"/>
        <v xml:space="preserve">LSU </v>
      </c>
      <c r="F24" s="13">
        <f t="shared" ca="1" si="1"/>
        <v>37</v>
      </c>
      <c r="G24" s="12" t="str">
        <f t="shared" ca="1" si="2"/>
        <v xml:space="preserve">LSU </v>
      </c>
      <c r="H24" s="13">
        <f t="shared" ca="1" si="3"/>
        <v>39</v>
      </c>
      <c r="I24" s="12" t="str">
        <f t="shared" ca="1" si="4"/>
        <v xml:space="preserve">LSU </v>
      </c>
      <c r="J24" s="13">
        <f t="shared" ca="1" si="5"/>
        <v>30</v>
      </c>
      <c r="K24" s="12" t="str">
        <f t="shared" ca="1" si="6"/>
        <v xml:space="preserve">LSU </v>
      </c>
      <c r="L24" s="13">
        <f t="shared" ca="1" si="7"/>
        <v>31</v>
      </c>
      <c r="M24" s="12" t="str">
        <f t="shared" ca="1" si="8"/>
        <v xml:space="preserve">LSU </v>
      </c>
      <c r="N24" s="13">
        <f t="shared" ca="1" si="9"/>
        <v>35</v>
      </c>
      <c r="O24" s="12" t="str">
        <f t="shared" ca="1" si="10"/>
        <v xml:space="preserve">LSU </v>
      </c>
      <c r="P24" s="13">
        <f t="shared" ca="1" si="11"/>
        <v>40</v>
      </c>
      <c r="Q24" s="12" t="str">
        <f t="shared" ca="1" si="12"/>
        <v xml:space="preserve">LSU </v>
      </c>
      <c r="R24" s="13">
        <f t="shared" ca="1" si="13"/>
        <v>40</v>
      </c>
      <c r="S24" s="12" t="str">
        <f t="shared" ca="1" si="14"/>
        <v xml:space="preserve">LSU </v>
      </c>
      <c r="T24" s="13">
        <f t="shared" ca="1" si="15"/>
        <v>37</v>
      </c>
      <c r="U24" s="12" t="str">
        <f t="shared" ca="1" si="16"/>
        <v xml:space="preserve">LSU </v>
      </c>
      <c r="V24" s="13">
        <f t="shared" ca="1" si="17"/>
        <v>40</v>
      </c>
      <c r="W24" s="12" t="str">
        <f t="shared" ca="1" si="18"/>
        <v xml:space="preserve">LSU </v>
      </c>
      <c r="X24" s="13">
        <f t="shared" ca="1" si="19"/>
        <v>39</v>
      </c>
      <c r="Y24" s="12" t="str">
        <f t="shared" ca="1" si="20"/>
        <v xml:space="preserve">LSU </v>
      </c>
      <c r="Z24" s="13">
        <f t="shared" ca="1" si="21"/>
        <v>40</v>
      </c>
      <c r="AA24" s="12" t="str">
        <f t="shared" ca="1" si="22"/>
        <v xml:space="preserve">LSU </v>
      </c>
      <c r="AB24" s="13">
        <f t="shared" ca="1" si="23"/>
        <v>7</v>
      </c>
      <c r="AC24" s="12" t="str">
        <f t="shared" ca="1" si="24"/>
        <v>Oklahoma</v>
      </c>
      <c r="AD24" s="13">
        <f t="shared" ca="1" si="25"/>
        <v>17</v>
      </c>
      <c r="AE24" s="12" t="str">
        <f t="shared" ca="1" si="26"/>
        <v xml:space="preserve">LSU </v>
      </c>
      <c r="AF24" s="13">
        <f t="shared" ca="1" si="27"/>
        <v>38</v>
      </c>
      <c r="AG24" s="12" t="str">
        <f t="shared" ca="1" si="28"/>
        <v xml:space="preserve">LSU </v>
      </c>
      <c r="AH24" s="13">
        <f t="shared" ca="1" si="29"/>
        <v>21</v>
      </c>
    </row>
    <row r="25" spans="1:34" ht="15" hidden="1" thickTop="1" x14ac:dyDescent="0.35">
      <c r="A25" s="4">
        <v>43827</v>
      </c>
      <c r="B25" s="5" t="s">
        <v>71</v>
      </c>
      <c r="C25" s="12" t="s">
        <v>72</v>
      </c>
      <c r="D25" s="13" t="s">
        <v>73</v>
      </c>
      <c r="E25" s="12" t="str">
        <f t="shared" ca="1" si="0"/>
        <v xml:space="preserve">Ohio State </v>
      </c>
      <c r="F25" s="13">
        <f t="shared" ca="1" si="1"/>
        <v>9</v>
      </c>
      <c r="G25" s="12" t="str">
        <f t="shared" ca="1" si="2"/>
        <v xml:space="preserve">Ohio State </v>
      </c>
      <c r="H25" s="13">
        <f t="shared" ca="1" si="3"/>
        <v>5</v>
      </c>
      <c r="I25" s="12" t="str">
        <f t="shared" ca="1" si="4"/>
        <v>Clemson</v>
      </c>
      <c r="J25" s="13">
        <f t="shared" ca="1" si="5"/>
        <v>33</v>
      </c>
      <c r="K25" s="12" t="str">
        <f t="shared" ca="1" si="6"/>
        <v xml:space="preserve">Ohio State </v>
      </c>
      <c r="L25" s="13">
        <f t="shared" ca="1" si="7"/>
        <v>7</v>
      </c>
      <c r="M25" s="12" t="str">
        <f t="shared" ca="1" si="8"/>
        <v>Clemson</v>
      </c>
      <c r="N25" s="13">
        <f t="shared" ca="1" si="9"/>
        <v>23</v>
      </c>
      <c r="O25" s="12" t="str">
        <f t="shared" ca="1" si="10"/>
        <v>Clemson</v>
      </c>
      <c r="P25" s="13">
        <f t="shared" ca="1" si="11"/>
        <v>7</v>
      </c>
      <c r="Q25" s="12" t="str">
        <f t="shared" ca="1" si="12"/>
        <v xml:space="preserve">Ohio State </v>
      </c>
      <c r="R25" s="13">
        <f t="shared" ca="1" si="13"/>
        <v>18</v>
      </c>
      <c r="S25" s="12" t="str">
        <f t="shared" ca="1" si="14"/>
        <v xml:space="preserve">Ohio State </v>
      </c>
      <c r="T25" s="13">
        <f t="shared" ca="1" si="15"/>
        <v>8</v>
      </c>
      <c r="U25" s="12" t="str">
        <f t="shared" ca="1" si="16"/>
        <v>Clemson</v>
      </c>
      <c r="V25" s="13">
        <f t="shared" ca="1" si="17"/>
        <v>8</v>
      </c>
      <c r="W25" s="12" t="str">
        <f t="shared" ca="1" si="18"/>
        <v xml:space="preserve">Ohio State </v>
      </c>
      <c r="X25" s="13">
        <f t="shared" ca="1" si="19"/>
        <v>32</v>
      </c>
      <c r="Y25" s="12" t="str">
        <f t="shared" ca="1" si="20"/>
        <v xml:space="preserve">Ohio State </v>
      </c>
      <c r="Z25" s="13">
        <f t="shared" ca="1" si="21"/>
        <v>39</v>
      </c>
      <c r="AA25" s="12" t="str">
        <f t="shared" ca="1" si="22"/>
        <v>Clemson</v>
      </c>
      <c r="AB25" s="13">
        <f t="shared" ca="1" si="23"/>
        <v>25</v>
      </c>
      <c r="AC25" s="12" t="str">
        <f t="shared" ca="1" si="24"/>
        <v>Clemson</v>
      </c>
      <c r="AD25" s="13">
        <f t="shared" ca="1" si="25"/>
        <v>22</v>
      </c>
      <c r="AE25" s="12" t="str">
        <f t="shared" ca="1" si="26"/>
        <v xml:space="preserve">Ohio State </v>
      </c>
      <c r="AF25" s="13">
        <f t="shared" ca="1" si="27"/>
        <v>11</v>
      </c>
      <c r="AG25" s="12" t="str">
        <f t="shared" ca="1" si="28"/>
        <v xml:space="preserve">Ohio State </v>
      </c>
      <c r="AH25" s="13">
        <f t="shared" ca="1" si="29"/>
        <v>1</v>
      </c>
    </row>
    <row r="26" spans="1:34" ht="15" hidden="1" thickTop="1" x14ac:dyDescent="0.35">
      <c r="A26" s="4">
        <v>43829</v>
      </c>
      <c r="B26" s="5" t="s">
        <v>74</v>
      </c>
      <c r="C26" s="12" t="s">
        <v>75</v>
      </c>
      <c r="D26" s="13" t="s">
        <v>76</v>
      </c>
      <c r="E26" s="12" t="str">
        <f t="shared" ca="1" si="0"/>
        <v>Western Michigan</v>
      </c>
      <c r="F26" s="13">
        <f t="shared" ca="1" si="1"/>
        <v>8</v>
      </c>
      <c r="G26" s="12" t="str">
        <f t="shared" ca="1" si="2"/>
        <v>Western Michigan</v>
      </c>
      <c r="H26" s="13">
        <f t="shared" ca="1" si="3"/>
        <v>22</v>
      </c>
      <c r="I26" s="12" t="str">
        <f t="shared" ca="1" si="4"/>
        <v>Western Michigan</v>
      </c>
      <c r="J26" s="13">
        <f t="shared" ca="1" si="5"/>
        <v>4</v>
      </c>
      <c r="K26" s="12" t="str">
        <f t="shared" ca="1" si="6"/>
        <v xml:space="preserve">Western Kentucky </v>
      </c>
      <c r="L26" s="13">
        <f t="shared" ca="1" si="7"/>
        <v>18</v>
      </c>
      <c r="M26" s="12" t="str">
        <f t="shared" ca="1" si="8"/>
        <v xml:space="preserve">Western Kentucky </v>
      </c>
      <c r="N26" s="13">
        <f t="shared" ca="1" si="9"/>
        <v>18</v>
      </c>
      <c r="O26" s="12" t="str">
        <f t="shared" ca="1" si="10"/>
        <v xml:space="preserve">Western Kentucky </v>
      </c>
      <c r="P26" s="13">
        <f t="shared" ca="1" si="11"/>
        <v>8</v>
      </c>
      <c r="Q26" s="12" t="str">
        <f t="shared" ca="1" si="12"/>
        <v xml:space="preserve">Western Kentucky </v>
      </c>
      <c r="R26" s="13">
        <f t="shared" ca="1" si="13"/>
        <v>14</v>
      </c>
      <c r="S26" s="12" t="str">
        <f t="shared" ca="1" si="14"/>
        <v xml:space="preserve">Western Kentucky </v>
      </c>
      <c r="T26" s="13">
        <f t="shared" ca="1" si="15"/>
        <v>7</v>
      </c>
      <c r="U26" s="12" t="str">
        <f t="shared" ca="1" si="16"/>
        <v xml:space="preserve">Western Kentucky </v>
      </c>
      <c r="V26" s="13">
        <f t="shared" ca="1" si="17"/>
        <v>24</v>
      </c>
      <c r="W26" s="12" t="str">
        <f t="shared" ca="1" si="18"/>
        <v>Western Michigan</v>
      </c>
      <c r="X26" s="13">
        <f t="shared" ca="1" si="19"/>
        <v>14</v>
      </c>
      <c r="Y26" s="12" t="str">
        <f t="shared" ca="1" si="20"/>
        <v xml:space="preserve">Western Kentucky </v>
      </c>
      <c r="Z26" s="13">
        <f t="shared" ca="1" si="21"/>
        <v>25</v>
      </c>
      <c r="AA26" s="12" t="str">
        <f t="shared" ca="1" si="22"/>
        <v>Western Michigan</v>
      </c>
      <c r="AB26" s="13">
        <f t="shared" ca="1" si="23"/>
        <v>26</v>
      </c>
      <c r="AC26" s="12" t="str">
        <f t="shared" ca="1" si="24"/>
        <v xml:space="preserve">Western Kentucky </v>
      </c>
      <c r="AD26" s="13">
        <f t="shared" ca="1" si="25"/>
        <v>5</v>
      </c>
      <c r="AE26" s="12" t="str">
        <f t="shared" ca="1" si="26"/>
        <v xml:space="preserve">Western Kentucky </v>
      </c>
      <c r="AF26" s="13">
        <f t="shared" ca="1" si="27"/>
        <v>33</v>
      </c>
      <c r="AG26" s="12" t="str">
        <f t="shared" ca="1" si="28"/>
        <v xml:space="preserve">Western Kentucky </v>
      </c>
      <c r="AH26" s="13">
        <f t="shared" ca="1" si="29"/>
        <v>19</v>
      </c>
    </row>
    <row r="27" spans="1:34" ht="15" hidden="1" thickTop="1" x14ac:dyDescent="0.35">
      <c r="A27" s="4">
        <v>43829</v>
      </c>
      <c r="B27" s="5" t="s">
        <v>77</v>
      </c>
      <c r="C27" s="12" t="s">
        <v>78</v>
      </c>
      <c r="D27" s="13" t="s">
        <v>79</v>
      </c>
      <c r="E27" s="12" t="str">
        <f t="shared" ca="1" si="0"/>
        <v>Louisville</v>
      </c>
      <c r="F27" s="13">
        <f t="shared" ca="1" si="1"/>
        <v>20</v>
      </c>
      <c r="G27" s="12" t="str">
        <f t="shared" ca="1" si="2"/>
        <v>Louisville</v>
      </c>
      <c r="H27" s="13">
        <f t="shared" ca="1" si="3"/>
        <v>10</v>
      </c>
      <c r="I27" s="12" t="str">
        <f t="shared" ca="1" si="4"/>
        <v xml:space="preserve">Mississippi State </v>
      </c>
      <c r="J27" s="13">
        <f t="shared" ca="1" si="5"/>
        <v>9</v>
      </c>
      <c r="K27" s="12" t="str">
        <f t="shared" ca="1" si="6"/>
        <v xml:space="preserve">Mississippi State </v>
      </c>
      <c r="L27" s="13">
        <f t="shared" ca="1" si="7"/>
        <v>8</v>
      </c>
      <c r="M27" s="12" t="str">
        <f t="shared" ca="1" si="8"/>
        <v xml:space="preserve">Mississippi State </v>
      </c>
      <c r="N27" s="13">
        <f t="shared" ca="1" si="9"/>
        <v>14</v>
      </c>
      <c r="O27" s="12" t="str">
        <f t="shared" ca="1" si="10"/>
        <v>Louisville</v>
      </c>
      <c r="P27" s="13">
        <f t="shared" ca="1" si="11"/>
        <v>27</v>
      </c>
      <c r="Q27" s="12" t="str">
        <f t="shared" ca="1" si="12"/>
        <v xml:space="preserve">Mississippi State </v>
      </c>
      <c r="R27" s="13">
        <f t="shared" ca="1" si="13"/>
        <v>16</v>
      </c>
      <c r="S27" s="12" t="str">
        <f t="shared" ca="1" si="14"/>
        <v>Louisville</v>
      </c>
      <c r="T27" s="13">
        <f t="shared" ca="1" si="15"/>
        <v>3</v>
      </c>
      <c r="U27" s="12" t="str">
        <f t="shared" ca="1" si="16"/>
        <v>Louisville</v>
      </c>
      <c r="V27" s="13">
        <f t="shared" ca="1" si="17"/>
        <v>10</v>
      </c>
      <c r="W27" s="12" t="str">
        <f t="shared" ca="1" si="18"/>
        <v>Louisville</v>
      </c>
      <c r="X27" s="13">
        <f t="shared" ca="1" si="19"/>
        <v>16</v>
      </c>
      <c r="Y27" s="12" t="str">
        <f t="shared" ca="1" si="20"/>
        <v>Louisville</v>
      </c>
      <c r="Z27" s="13">
        <f t="shared" ca="1" si="21"/>
        <v>7</v>
      </c>
      <c r="AA27" s="12" t="str">
        <f t="shared" ca="1" si="22"/>
        <v xml:space="preserve">Mississippi State </v>
      </c>
      <c r="AB27" s="13">
        <f t="shared" ca="1" si="23"/>
        <v>24</v>
      </c>
      <c r="AC27" s="12" t="str">
        <f t="shared" ca="1" si="24"/>
        <v>Louisville</v>
      </c>
      <c r="AD27" s="13">
        <f t="shared" ca="1" si="25"/>
        <v>14</v>
      </c>
      <c r="AE27" s="12" t="str">
        <f t="shared" ca="1" si="26"/>
        <v>Louisville</v>
      </c>
      <c r="AF27" s="13">
        <f t="shared" ca="1" si="27"/>
        <v>32</v>
      </c>
      <c r="AG27" s="12" t="str">
        <f t="shared" ca="1" si="28"/>
        <v>Louisville</v>
      </c>
      <c r="AH27" s="13">
        <f t="shared" ca="1" si="29"/>
        <v>31</v>
      </c>
    </row>
    <row r="28" spans="1:34" ht="15" hidden="1" thickTop="1" x14ac:dyDescent="0.35">
      <c r="A28" s="4">
        <v>43829</v>
      </c>
      <c r="B28" s="5" t="s">
        <v>80</v>
      </c>
      <c r="C28" s="12" t="s">
        <v>81</v>
      </c>
      <c r="D28" s="13" t="s">
        <v>82</v>
      </c>
      <c r="E28" s="12" t="str">
        <f t="shared" ca="1" si="0"/>
        <v xml:space="preserve">Illinois </v>
      </c>
      <c r="F28" s="13">
        <f t="shared" ca="1" si="1"/>
        <v>6</v>
      </c>
      <c r="G28" s="12" t="str">
        <f t="shared" ca="1" si="2"/>
        <v>California</v>
      </c>
      <c r="H28" s="13">
        <f t="shared" ca="1" si="3"/>
        <v>29</v>
      </c>
      <c r="I28" s="12" t="str">
        <f t="shared" ca="1" si="4"/>
        <v>California</v>
      </c>
      <c r="J28" s="13">
        <f t="shared" ca="1" si="5"/>
        <v>19</v>
      </c>
      <c r="K28" s="12" t="str">
        <f t="shared" ca="1" si="6"/>
        <v>California</v>
      </c>
      <c r="L28" s="13">
        <f t="shared" ca="1" si="7"/>
        <v>25</v>
      </c>
      <c r="M28" s="12" t="str">
        <f t="shared" ca="1" si="8"/>
        <v>California</v>
      </c>
      <c r="N28" s="13">
        <f t="shared" ca="1" si="9"/>
        <v>17</v>
      </c>
      <c r="O28" s="12" t="str">
        <f t="shared" ca="1" si="10"/>
        <v>California</v>
      </c>
      <c r="P28" s="13">
        <f t="shared" ca="1" si="11"/>
        <v>14</v>
      </c>
      <c r="Q28" s="12" t="str">
        <f t="shared" ca="1" si="12"/>
        <v>California</v>
      </c>
      <c r="R28" s="13">
        <f t="shared" ca="1" si="13"/>
        <v>3</v>
      </c>
      <c r="S28" s="12" t="str">
        <f t="shared" ca="1" si="14"/>
        <v>California</v>
      </c>
      <c r="T28" s="13">
        <f t="shared" ca="1" si="15"/>
        <v>15</v>
      </c>
      <c r="U28" s="12" t="str">
        <f t="shared" ca="1" si="16"/>
        <v>California</v>
      </c>
      <c r="V28" s="13">
        <f t="shared" ca="1" si="17"/>
        <v>17</v>
      </c>
      <c r="W28" s="12" t="str">
        <f t="shared" ca="1" si="18"/>
        <v xml:space="preserve">Illinois </v>
      </c>
      <c r="X28" s="13">
        <f t="shared" ca="1" si="19"/>
        <v>17</v>
      </c>
      <c r="Y28" s="12" t="str">
        <f t="shared" ca="1" si="20"/>
        <v xml:space="preserve">Illinois </v>
      </c>
      <c r="Z28" s="13">
        <f t="shared" ca="1" si="21"/>
        <v>8</v>
      </c>
      <c r="AA28" s="12" t="str">
        <f t="shared" ca="1" si="22"/>
        <v>California</v>
      </c>
      <c r="AB28" s="13">
        <f t="shared" ca="1" si="23"/>
        <v>23</v>
      </c>
      <c r="AC28" s="12" t="str">
        <f t="shared" ca="1" si="24"/>
        <v>California</v>
      </c>
      <c r="AD28" s="13">
        <f t="shared" ca="1" si="25"/>
        <v>18</v>
      </c>
      <c r="AE28" s="12" t="str">
        <f t="shared" ca="1" si="26"/>
        <v>California</v>
      </c>
      <c r="AF28" s="13">
        <f t="shared" ca="1" si="27"/>
        <v>12</v>
      </c>
      <c r="AG28" s="12" t="str">
        <f t="shared" ca="1" si="28"/>
        <v xml:space="preserve">Illinois </v>
      </c>
      <c r="AH28" s="13">
        <f t="shared" ca="1" si="29"/>
        <v>10</v>
      </c>
    </row>
    <row r="29" spans="1:34" ht="15" hidden="1" thickTop="1" x14ac:dyDescent="0.35">
      <c r="A29" s="4">
        <v>43829</v>
      </c>
      <c r="B29" s="5" t="s">
        <v>83</v>
      </c>
      <c r="C29" s="12" t="s">
        <v>84</v>
      </c>
      <c r="D29" s="13" t="s">
        <v>85</v>
      </c>
      <c r="E29" s="12" t="str">
        <f t="shared" ca="1" si="0"/>
        <v xml:space="preserve">Florida </v>
      </c>
      <c r="F29" s="13">
        <f t="shared" ca="1" si="1"/>
        <v>38</v>
      </c>
      <c r="G29" s="12" t="str">
        <f t="shared" ca="1" si="2"/>
        <v xml:space="preserve">Florida </v>
      </c>
      <c r="H29" s="13">
        <f t="shared" ca="1" si="3"/>
        <v>40</v>
      </c>
      <c r="I29" s="12" t="str">
        <f t="shared" ca="1" si="4"/>
        <v xml:space="preserve">Florida </v>
      </c>
      <c r="J29" s="13">
        <f t="shared" ca="1" si="5"/>
        <v>14</v>
      </c>
      <c r="K29" s="12" t="str">
        <f t="shared" ca="1" si="6"/>
        <v xml:space="preserve">Florida </v>
      </c>
      <c r="L29" s="13">
        <f t="shared" ca="1" si="7"/>
        <v>37</v>
      </c>
      <c r="M29" s="12" t="str">
        <f t="shared" ca="1" si="8"/>
        <v xml:space="preserve">Florida </v>
      </c>
      <c r="N29" s="13">
        <f t="shared" ca="1" si="9"/>
        <v>40</v>
      </c>
      <c r="O29" s="12" t="str">
        <f t="shared" ca="1" si="10"/>
        <v xml:space="preserve">Florida </v>
      </c>
      <c r="P29" s="13">
        <f t="shared" ca="1" si="11"/>
        <v>37</v>
      </c>
      <c r="Q29" s="12" t="str">
        <f t="shared" ca="1" si="12"/>
        <v xml:space="preserve">Florida </v>
      </c>
      <c r="R29" s="13">
        <f t="shared" ca="1" si="13"/>
        <v>37</v>
      </c>
      <c r="S29" s="12" t="str">
        <f t="shared" ca="1" si="14"/>
        <v xml:space="preserve">Florida </v>
      </c>
      <c r="T29" s="13">
        <f t="shared" ca="1" si="15"/>
        <v>38</v>
      </c>
      <c r="U29" s="12" t="str">
        <f t="shared" ca="1" si="16"/>
        <v xml:space="preserve">Florida </v>
      </c>
      <c r="V29" s="13">
        <f t="shared" ca="1" si="17"/>
        <v>36</v>
      </c>
      <c r="W29" s="12" t="str">
        <f t="shared" ca="1" si="18"/>
        <v xml:space="preserve">Florida </v>
      </c>
      <c r="X29" s="13">
        <f t="shared" ca="1" si="19"/>
        <v>38</v>
      </c>
      <c r="Y29" s="12" t="str">
        <f t="shared" ca="1" si="20"/>
        <v>Virginia</v>
      </c>
      <c r="Z29" s="13">
        <f t="shared" ca="1" si="21"/>
        <v>9</v>
      </c>
      <c r="AA29" s="12" t="str">
        <f t="shared" ca="1" si="22"/>
        <v xml:space="preserve">Florida </v>
      </c>
      <c r="AB29" s="13">
        <f t="shared" ca="1" si="23"/>
        <v>8</v>
      </c>
      <c r="AC29" s="12" t="str">
        <f t="shared" ca="1" si="24"/>
        <v>Virginia</v>
      </c>
      <c r="AD29" s="13">
        <f t="shared" ca="1" si="25"/>
        <v>30</v>
      </c>
      <c r="AE29" s="12" t="str">
        <f t="shared" ca="1" si="26"/>
        <v xml:space="preserve">Florida </v>
      </c>
      <c r="AF29" s="13">
        <f t="shared" ca="1" si="27"/>
        <v>40</v>
      </c>
      <c r="AG29" s="12" t="str">
        <f t="shared" ca="1" si="28"/>
        <v xml:space="preserve">Florida </v>
      </c>
      <c r="AH29" s="13">
        <f t="shared" ca="1" si="29"/>
        <v>38</v>
      </c>
    </row>
    <row r="30" spans="1:34" ht="15" hidden="1" thickTop="1" x14ac:dyDescent="0.35">
      <c r="A30" s="4">
        <v>43830</v>
      </c>
      <c r="B30" s="5" t="s">
        <v>86</v>
      </c>
      <c r="C30" s="12" t="s">
        <v>87</v>
      </c>
      <c r="D30" s="13" t="s">
        <v>88</v>
      </c>
      <c r="E30" s="12" t="str">
        <f t="shared" ca="1" si="0"/>
        <v>Virginia Tech</v>
      </c>
      <c r="F30" s="13">
        <f t="shared" ca="1" si="1"/>
        <v>23</v>
      </c>
      <c r="G30" s="12" t="str">
        <f t="shared" ca="1" si="2"/>
        <v>Virginia Tech</v>
      </c>
      <c r="H30" s="13">
        <f t="shared" ca="1" si="3"/>
        <v>9</v>
      </c>
      <c r="I30" s="12" t="str">
        <f t="shared" ca="1" si="4"/>
        <v>Virginia Tech</v>
      </c>
      <c r="J30" s="13">
        <f t="shared" ca="1" si="5"/>
        <v>12</v>
      </c>
      <c r="K30" s="12" t="str">
        <f t="shared" ca="1" si="6"/>
        <v>Virginia Tech</v>
      </c>
      <c r="L30" s="13">
        <f t="shared" ca="1" si="7"/>
        <v>17</v>
      </c>
      <c r="M30" s="12" t="str">
        <f t="shared" ca="1" si="8"/>
        <v xml:space="preserve">Kentucky </v>
      </c>
      <c r="N30" s="13">
        <f t="shared" ca="1" si="9"/>
        <v>20</v>
      </c>
      <c r="O30" s="12" t="str">
        <f t="shared" ca="1" si="10"/>
        <v>Virginia Tech</v>
      </c>
      <c r="P30" s="13">
        <f t="shared" ca="1" si="11"/>
        <v>36</v>
      </c>
      <c r="Q30" s="12" t="str">
        <f t="shared" ca="1" si="12"/>
        <v xml:space="preserve">Kentucky </v>
      </c>
      <c r="R30" s="13">
        <f t="shared" ca="1" si="13"/>
        <v>21</v>
      </c>
      <c r="S30" s="12" t="str">
        <f t="shared" ca="1" si="14"/>
        <v>Virginia Tech</v>
      </c>
      <c r="T30" s="13">
        <f t="shared" ca="1" si="15"/>
        <v>27</v>
      </c>
      <c r="U30" s="12" t="str">
        <f t="shared" ca="1" si="16"/>
        <v>Virginia Tech</v>
      </c>
      <c r="V30" s="13">
        <f t="shared" ca="1" si="17"/>
        <v>11</v>
      </c>
      <c r="W30" s="12" t="str">
        <f t="shared" ca="1" si="18"/>
        <v>Virginia Tech</v>
      </c>
      <c r="X30" s="13">
        <f t="shared" ca="1" si="19"/>
        <v>18</v>
      </c>
      <c r="Y30" s="12" t="str">
        <f t="shared" ca="1" si="20"/>
        <v>Virginia Tech</v>
      </c>
      <c r="Z30" s="13">
        <f t="shared" ca="1" si="21"/>
        <v>10</v>
      </c>
      <c r="AA30" s="12" t="str">
        <f t="shared" ca="1" si="22"/>
        <v>Virginia Tech</v>
      </c>
      <c r="AB30" s="13">
        <f t="shared" ca="1" si="23"/>
        <v>10</v>
      </c>
      <c r="AC30" s="12" t="str">
        <f t="shared" ca="1" si="24"/>
        <v xml:space="preserve">Kentucky </v>
      </c>
      <c r="AD30" s="13">
        <f t="shared" ca="1" si="25"/>
        <v>19</v>
      </c>
      <c r="AE30" s="12" t="str">
        <f t="shared" ca="1" si="26"/>
        <v>Virginia Tech</v>
      </c>
      <c r="AF30" s="13">
        <f t="shared" ca="1" si="27"/>
        <v>18</v>
      </c>
      <c r="AG30" s="12" t="str">
        <f t="shared" ca="1" si="28"/>
        <v>Virginia Tech</v>
      </c>
      <c r="AH30" s="13">
        <f t="shared" ca="1" si="29"/>
        <v>30</v>
      </c>
    </row>
    <row r="31" spans="1:34" ht="15" hidden="1" thickTop="1" x14ac:dyDescent="0.35">
      <c r="A31" s="4">
        <v>43830</v>
      </c>
      <c r="B31" s="5" t="s">
        <v>89</v>
      </c>
      <c r="C31" s="12" t="s">
        <v>90</v>
      </c>
      <c r="D31" s="13" t="s">
        <v>91</v>
      </c>
      <c r="E31" s="12" t="str">
        <f t="shared" ca="1" si="0"/>
        <v>Arizona State</v>
      </c>
      <c r="F31" s="13">
        <f t="shared" ca="1" si="1"/>
        <v>18</v>
      </c>
      <c r="G31" s="12" t="str">
        <f t="shared" ca="1" si="2"/>
        <v>Arizona State</v>
      </c>
      <c r="H31" s="13">
        <f t="shared" ca="1" si="3"/>
        <v>8</v>
      </c>
      <c r="I31" s="12" t="str">
        <f t="shared" ca="1" si="4"/>
        <v xml:space="preserve">Florida State </v>
      </c>
      <c r="J31" s="13">
        <f t="shared" ca="1" si="5"/>
        <v>13</v>
      </c>
      <c r="K31" s="12" t="str">
        <f t="shared" ca="1" si="6"/>
        <v>Arizona State</v>
      </c>
      <c r="L31" s="13">
        <f t="shared" ca="1" si="7"/>
        <v>21</v>
      </c>
      <c r="M31" s="12" t="str">
        <f t="shared" ca="1" si="8"/>
        <v>Arizona State</v>
      </c>
      <c r="N31" s="13">
        <f t="shared" ca="1" si="9"/>
        <v>28</v>
      </c>
      <c r="O31" s="12" t="str">
        <f t="shared" ca="1" si="10"/>
        <v>Arizona State</v>
      </c>
      <c r="P31" s="13">
        <f t="shared" ca="1" si="11"/>
        <v>35</v>
      </c>
      <c r="Q31" s="12" t="str">
        <f t="shared" ca="1" si="12"/>
        <v>Arizona State</v>
      </c>
      <c r="R31" s="13">
        <f t="shared" ca="1" si="13"/>
        <v>17</v>
      </c>
      <c r="S31" s="12" t="str">
        <f t="shared" ca="1" si="14"/>
        <v>Arizona State</v>
      </c>
      <c r="T31" s="13">
        <f t="shared" ca="1" si="15"/>
        <v>33</v>
      </c>
      <c r="U31" s="12" t="str">
        <f t="shared" ca="1" si="16"/>
        <v>Arizona State</v>
      </c>
      <c r="V31" s="13">
        <f t="shared" ca="1" si="17"/>
        <v>29</v>
      </c>
      <c r="W31" s="12" t="str">
        <f t="shared" ca="1" si="18"/>
        <v>Arizona State</v>
      </c>
      <c r="X31" s="13">
        <f t="shared" ca="1" si="19"/>
        <v>19</v>
      </c>
      <c r="Y31" s="12" t="str">
        <f t="shared" ca="1" si="20"/>
        <v>Arizona State</v>
      </c>
      <c r="Z31" s="13">
        <f t="shared" ca="1" si="21"/>
        <v>24</v>
      </c>
      <c r="AA31" s="12" t="str">
        <f t="shared" ca="1" si="22"/>
        <v>Arizona State</v>
      </c>
      <c r="AB31" s="13">
        <f t="shared" ca="1" si="23"/>
        <v>9</v>
      </c>
      <c r="AC31" s="12" t="str">
        <f t="shared" ca="1" si="24"/>
        <v xml:space="preserve">Florida State </v>
      </c>
      <c r="AD31" s="13">
        <f t="shared" ca="1" si="25"/>
        <v>28</v>
      </c>
      <c r="AE31" s="12" t="str">
        <f t="shared" ca="1" si="26"/>
        <v>Arizona State</v>
      </c>
      <c r="AF31" s="13">
        <f t="shared" ca="1" si="27"/>
        <v>28</v>
      </c>
      <c r="AG31" s="12" t="str">
        <f t="shared" ca="1" si="28"/>
        <v>Arizona State</v>
      </c>
      <c r="AH31" s="13">
        <f t="shared" ca="1" si="29"/>
        <v>29</v>
      </c>
    </row>
    <row r="32" spans="1:34" ht="15" hidden="1" thickTop="1" x14ac:dyDescent="0.35">
      <c r="A32" s="4">
        <v>43830</v>
      </c>
      <c r="B32" s="5" t="s">
        <v>92</v>
      </c>
      <c r="C32" s="12" t="s">
        <v>93</v>
      </c>
      <c r="D32" s="13" t="s">
        <v>94</v>
      </c>
      <c r="E32" s="12" t="str">
        <f t="shared" ca="1" si="0"/>
        <v>Kansas State</v>
      </c>
      <c r="F32" s="13">
        <f t="shared" ca="1" si="1"/>
        <v>29</v>
      </c>
      <c r="G32" s="12" t="str">
        <f t="shared" ca="1" si="2"/>
        <v>Kansas State</v>
      </c>
      <c r="H32" s="13">
        <f t="shared" ca="1" si="3"/>
        <v>1</v>
      </c>
      <c r="I32" s="12" t="str">
        <f t="shared" ca="1" si="4"/>
        <v>Navy</v>
      </c>
      <c r="J32" s="13">
        <f t="shared" ca="1" si="5"/>
        <v>28</v>
      </c>
      <c r="K32" s="12" t="str">
        <f t="shared" ca="1" si="6"/>
        <v>Navy</v>
      </c>
      <c r="L32" s="13">
        <f t="shared" ca="1" si="7"/>
        <v>9</v>
      </c>
      <c r="M32" s="12" t="str">
        <f t="shared" ca="1" si="8"/>
        <v>Navy</v>
      </c>
      <c r="N32" s="13">
        <f t="shared" ca="1" si="9"/>
        <v>26</v>
      </c>
      <c r="O32" s="12" t="str">
        <f t="shared" ca="1" si="10"/>
        <v>Navy</v>
      </c>
      <c r="P32" s="13">
        <f t="shared" ca="1" si="11"/>
        <v>9</v>
      </c>
      <c r="Q32" s="12" t="str">
        <f t="shared" ca="1" si="12"/>
        <v>Navy</v>
      </c>
      <c r="R32" s="13">
        <f t="shared" ca="1" si="13"/>
        <v>23</v>
      </c>
      <c r="S32" s="12" t="str">
        <f t="shared" ca="1" si="14"/>
        <v>Navy</v>
      </c>
      <c r="T32" s="13">
        <f t="shared" ca="1" si="15"/>
        <v>16</v>
      </c>
      <c r="U32" s="12" t="str">
        <f t="shared" ca="1" si="16"/>
        <v>Navy</v>
      </c>
      <c r="V32" s="13">
        <f t="shared" ca="1" si="17"/>
        <v>18</v>
      </c>
      <c r="W32" s="12" t="str">
        <f t="shared" ca="1" si="18"/>
        <v>Navy</v>
      </c>
      <c r="X32" s="13">
        <f t="shared" ca="1" si="19"/>
        <v>21</v>
      </c>
      <c r="Y32" s="12" t="str">
        <f t="shared" ca="1" si="20"/>
        <v>Navy</v>
      </c>
      <c r="Z32" s="13">
        <f t="shared" ca="1" si="21"/>
        <v>11</v>
      </c>
      <c r="AA32" s="12" t="str">
        <f t="shared" ca="1" si="22"/>
        <v>Navy</v>
      </c>
      <c r="AB32" s="13">
        <f t="shared" ca="1" si="23"/>
        <v>21</v>
      </c>
      <c r="AC32" s="12" t="str">
        <f t="shared" ca="1" si="24"/>
        <v>Navy</v>
      </c>
      <c r="AD32" s="13">
        <f t="shared" ca="1" si="25"/>
        <v>35</v>
      </c>
      <c r="AE32" s="12" t="str">
        <f t="shared" ca="1" si="26"/>
        <v>Navy</v>
      </c>
      <c r="AF32" s="13">
        <f t="shared" ca="1" si="27"/>
        <v>27</v>
      </c>
      <c r="AG32" s="12" t="str">
        <f t="shared" ca="1" si="28"/>
        <v>Navy</v>
      </c>
      <c r="AH32" s="13">
        <f t="shared" ca="1" si="29"/>
        <v>7</v>
      </c>
    </row>
    <row r="33" spans="1:34" ht="15" hidden="1" thickTop="1" x14ac:dyDescent="0.35">
      <c r="A33" s="4">
        <v>43830</v>
      </c>
      <c r="B33" s="5" t="s">
        <v>95</v>
      </c>
      <c r="C33" s="12" t="s">
        <v>96</v>
      </c>
      <c r="D33" s="13" t="s">
        <v>97</v>
      </c>
      <c r="E33" s="12" t="str">
        <f t="shared" ca="1" si="0"/>
        <v>Wyoming</v>
      </c>
      <c r="F33" s="13">
        <f t="shared" ca="1" si="1"/>
        <v>30</v>
      </c>
      <c r="G33" s="12" t="str">
        <f t="shared" ca="1" si="2"/>
        <v>Wyoming</v>
      </c>
      <c r="H33" s="13">
        <f t="shared" ca="1" si="3"/>
        <v>31</v>
      </c>
      <c r="I33" s="12" t="str">
        <f t="shared" ca="1" si="4"/>
        <v xml:space="preserve">Georgia State </v>
      </c>
      <c r="J33" s="13">
        <f t="shared" ca="1" si="5"/>
        <v>11</v>
      </c>
      <c r="K33" s="12" t="str">
        <f t="shared" ca="1" si="6"/>
        <v>Wyoming</v>
      </c>
      <c r="L33" s="13">
        <f t="shared" ca="1" si="7"/>
        <v>24</v>
      </c>
      <c r="M33" s="12" t="str">
        <f t="shared" ca="1" si="8"/>
        <v>Wyoming</v>
      </c>
      <c r="N33" s="13">
        <f t="shared" ca="1" si="9"/>
        <v>19</v>
      </c>
      <c r="O33" s="12" t="str">
        <f t="shared" ca="1" si="10"/>
        <v>Wyoming</v>
      </c>
      <c r="P33" s="13">
        <f t="shared" ca="1" si="11"/>
        <v>15</v>
      </c>
      <c r="Q33" s="12" t="str">
        <f t="shared" ca="1" si="12"/>
        <v>Wyoming</v>
      </c>
      <c r="R33" s="13">
        <f t="shared" ca="1" si="13"/>
        <v>27</v>
      </c>
      <c r="S33" s="12" t="str">
        <f t="shared" ca="1" si="14"/>
        <v>Wyoming</v>
      </c>
      <c r="T33" s="13">
        <f t="shared" ca="1" si="15"/>
        <v>32</v>
      </c>
      <c r="U33" s="12" t="str">
        <f t="shared" ca="1" si="16"/>
        <v xml:space="preserve">Georgia State </v>
      </c>
      <c r="V33" s="13">
        <f t="shared" ca="1" si="17"/>
        <v>2</v>
      </c>
      <c r="W33" s="12" t="str">
        <f t="shared" ca="1" si="18"/>
        <v>Wyoming</v>
      </c>
      <c r="X33" s="13">
        <f t="shared" ca="1" si="19"/>
        <v>6</v>
      </c>
      <c r="Y33" s="12" t="str">
        <f t="shared" ca="1" si="20"/>
        <v xml:space="preserve">Georgia State </v>
      </c>
      <c r="Z33" s="13">
        <f t="shared" ca="1" si="21"/>
        <v>31</v>
      </c>
      <c r="AA33" s="12" t="str">
        <f t="shared" ca="1" si="22"/>
        <v>Wyoming</v>
      </c>
      <c r="AB33" s="13">
        <f t="shared" ca="1" si="23"/>
        <v>11</v>
      </c>
      <c r="AC33" s="12" t="str">
        <f t="shared" ca="1" si="24"/>
        <v>Wyoming</v>
      </c>
      <c r="AD33" s="13">
        <f t="shared" ca="1" si="25"/>
        <v>26</v>
      </c>
      <c r="AE33" s="12" t="str">
        <f t="shared" ca="1" si="26"/>
        <v>Wyoming</v>
      </c>
      <c r="AF33" s="13">
        <f t="shared" ca="1" si="27"/>
        <v>26</v>
      </c>
      <c r="AG33" s="12" t="str">
        <f t="shared" ca="1" si="28"/>
        <v>Wyoming</v>
      </c>
      <c r="AH33" s="13">
        <f t="shared" ca="1" si="29"/>
        <v>6</v>
      </c>
    </row>
    <row r="34" spans="1:34" ht="15" hidden="1" thickTop="1" x14ac:dyDescent="0.35">
      <c r="A34" s="4">
        <v>43830</v>
      </c>
      <c r="B34" s="5" t="s">
        <v>98</v>
      </c>
      <c r="C34" s="12" t="s">
        <v>99</v>
      </c>
      <c r="D34" s="13" t="s">
        <v>100</v>
      </c>
      <c r="E34" s="12" t="str">
        <f t="shared" ca="1" si="0"/>
        <v>Texas</v>
      </c>
      <c r="F34" s="13">
        <f t="shared" ca="1" si="1"/>
        <v>14</v>
      </c>
      <c r="G34" s="12" t="str">
        <f t="shared" ca="1" si="2"/>
        <v xml:space="preserve">Utah </v>
      </c>
      <c r="H34" s="13">
        <f t="shared" ca="1" si="3"/>
        <v>27</v>
      </c>
      <c r="I34" s="12" t="str">
        <f t="shared" ca="1" si="4"/>
        <v>Texas</v>
      </c>
      <c r="J34" s="13">
        <f t="shared" ca="1" si="5"/>
        <v>26</v>
      </c>
      <c r="K34" s="12" t="str">
        <f t="shared" ca="1" si="6"/>
        <v xml:space="preserve">Utah </v>
      </c>
      <c r="L34" s="13">
        <f t="shared" ca="1" si="7"/>
        <v>26</v>
      </c>
      <c r="M34" s="12" t="str">
        <f t="shared" ca="1" si="8"/>
        <v xml:space="preserve">Utah </v>
      </c>
      <c r="N34" s="13">
        <f t="shared" ca="1" si="9"/>
        <v>9</v>
      </c>
      <c r="O34" s="12" t="str">
        <f t="shared" ca="1" si="10"/>
        <v xml:space="preserve">Utah </v>
      </c>
      <c r="P34" s="13">
        <f t="shared" ca="1" si="11"/>
        <v>18</v>
      </c>
      <c r="Q34" s="12" t="str">
        <f t="shared" ca="1" si="12"/>
        <v xml:space="preserve">Utah </v>
      </c>
      <c r="R34" s="13">
        <f t="shared" ca="1" si="13"/>
        <v>29</v>
      </c>
      <c r="S34" s="12" t="str">
        <f t="shared" ca="1" si="14"/>
        <v xml:space="preserve">Utah </v>
      </c>
      <c r="T34" s="13">
        <f t="shared" ca="1" si="15"/>
        <v>25</v>
      </c>
      <c r="U34" s="12" t="str">
        <f t="shared" ca="1" si="16"/>
        <v xml:space="preserve">Utah </v>
      </c>
      <c r="V34" s="13">
        <f t="shared" ca="1" si="17"/>
        <v>32</v>
      </c>
      <c r="W34" s="12" t="str">
        <f t="shared" ca="1" si="18"/>
        <v xml:space="preserve">Utah </v>
      </c>
      <c r="X34" s="13">
        <f t="shared" ca="1" si="19"/>
        <v>37</v>
      </c>
      <c r="Y34" s="12" t="str">
        <f t="shared" ca="1" si="20"/>
        <v xml:space="preserve">Utah </v>
      </c>
      <c r="Z34" s="13">
        <f t="shared" ca="1" si="21"/>
        <v>32</v>
      </c>
      <c r="AA34" s="12" t="str">
        <f t="shared" ca="1" si="22"/>
        <v xml:space="preserve">Utah </v>
      </c>
      <c r="AB34" s="13">
        <f t="shared" ca="1" si="23"/>
        <v>20</v>
      </c>
      <c r="AC34" s="12" t="str">
        <f t="shared" ca="1" si="24"/>
        <v xml:space="preserve">Utah </v>
      </c>
      <c r="AD34" s="13">
        <f t="shared" ca="1" si="25"/>
        <v>2</v>
      </c>
      <c r="AE34" s="12" t="str">
        <f t="shared" ca="1" si="26"/>
        <v xml:space="preserve">Utah </v>
      </c>
      <c r="AF34" s="13">
        <f t="shared" ca="1" si="27"/>
        <v>35</v>
      </c>
      <c r="AG34" s="12" t="str">
        <f t="shared" ca="1" si="28"/>
        <v xml:space="preserve">Utah </v>
      </c>
      <c r="AH34" s="13">
        <f t="shared" ca="1" si="29"/>
        <v>40</v>
      </c>
    </row>
    <row r="35" spans="1:34" ht="15" hidden="1" thickTop="1" x14ac:dyDescent="0.35">
      <c r="A35" s="4">
        <v>43831</v>
      </c>
      <c r="B35" s="5" t="s">
        <v>101</v>
      </c>
      <c r="C35" s="12" t="s">
        <v>102</v>
      </c>
      <c r="D35" s="13" t="s">
        <v>103</v>
      </c>
      <c r="E35" s="12" t="str">
        <f t="shared" ca="1" si="0"/>
        <v xml:space="preserve">Alabama </v>
      </c>
      <c r="F35" s="13">
        <f t="shared" ca="1" si="1"/>
        <v>33</v>
      </c>
      <c r="G35" s="12" t="str">
        <f t="shared" ca="1" si="2"/>
        <v xml:space="preserve">Alabama </v>
      </c>
      <c r="H35" s="13">
        <f t="shared" ca="1" si="3"/>
        <v>36</v>
      </c>
      <c r="I35" s="12" t="str">
        <f t="shared" ca="1" si="4"/>
        <v>Michigan</v>
      </c>
      <c r="J35" s="13">
        <f t="shared" ca="1" si="5"/>
        <v>18</v>
      </c>
      <c r="K35" s="12" t="str">
        <f t="shared" ca="1" si="6"/>
        <v xml:space="preserve">Alabama </v>
      </c>
      <c r="L35" s="13">
        <f t="shared" ca="1" si="7"/>
        <v>32</v>
      </c>
      <c r="M35" s="12" t="str">
        <f t="shared" ca="1" si="8"/>
        <v xml:space="preserve">Alabama </v>
      </c>
      <c r="N35" s="13">
        <f t="shared" ca="1" si="9"/>
        <v>33</v>
      </c>
      <c r="O35" s="12" t="str">
        <f t="shared" ca="1" si="10"/>
        <v xml:space="preserve">Alabama </v>
      </c>
      <c r="P35" s="13">
        <f t="shared" ca="1" si="11"/>
        <v>39</v>
      </c>
      <c r="Q35" s="12" t="str">
        <f t="shared" ca="1" si="12"/>
        <v xml:space="preserve">Alabama </v>
      </c>
      <c r="R35" s="13">
        <f t="shared" ca="1" si="13"/>
        <v>30</v>
      </c>
      <c r="S35" s="12" t="str">
        <f t="shared" ca="1" si="14"/>
        <v xml:space="preserve">Alabama </v>
      </c>
      <c r="T35" s="13">
        <f t="shared" ca="1" si="15"/>
        <v>30</v>
      </c>
      <c r="U35" s="12" t="str">
        <f t="shared" ca="1" si="16"/>
        <v xml:space="preserve">Alabama </v>
      </c>
      <c r="V35" s="13">
        <f t="shared" ca="1" si="17"/>
        <v>23</v>
      </c>
      <c r="W35" s="12" t="str">
        <f t="shared" ca="1" si="18"/>
        <v>Michigan</v>
      </c>
      <c r="X35" s="13">
        <f t="shared" ca="1" si="19"/>
        <v>22</v>
      </c>
      <c r="Y35" s="12" t="str">
        <f t="shared" ca="1" si="20"/>
        <v xml:space="preserve">Alabama </v>
      </c>
      <c r="Z35" s="13">
        <f t="shared" ca="1" si="21"/>
        <v>13</v>
      </c>
      <c r="AA35" s="12" t="str">
        <f t="shared" ca="1" si="22"/>
        <v xml:space="preserve">Alabama </v>
      </c>
      <c r="AB35" s="13">
        <f t="shared" ca="1" si="23"/>
        <v>12</v>
      </c>
      <c r="AC35" s="12" t="str">
        <f t="shared" ca="1" si="24"/>
        <v>Michigan</v>
      </c>
      <c r="AD35" s="13">
        <f t="shared" ca="1" si="25"/>
        <v>21</v>
      </c>
      <c r="AE35" s="12" t="str">
        <f t="shared" ca="1" si="26"/>
        <v xml:space="preserve">Alabama </v>
      </c>
      <c r="AF35" s="13">
        <f t="shared" ca="1" si="27"/>
        <v>31</v>
      </c>
      <c r="AG35" s="12" t="str">
        <f t="shared" ca="1" si="28"/>
        <v xml:space="preserve">Alabama </v>
      </c>
      <c r="AH35" s="13">
        <f t="shared" ca="1" si="29"/>
        <v>37</v>
      </c>
    </row>
    <row r="36" spans="1:34" ht="15" hidden="1" thickTop="1" x14ac:dyDescent="0.35">
      <c r="A36" s="4">
        <v>43831</v>
      </c>
      <c r="B36" s="5" t="s">
        <v>104</v>
      </c>
      <c r="C36" s="12" t="s">
        <v>105</v>
      </c>
      <c r="D36" s="13" t="s">
        <v>106</v>
      </c>
      <c r="E36" s="12" t="str">
        <f t="shared" ca="1" si="0"/>
        <v>Minnesota</v>
      </c>
      <c r="F36" s="13">
        <f t="shared" ca="1" si="1"/>
        <v>5</v>
      </c>
      <c r="G36" s="12" t="str">
        <f t="shared" ca="1" si="2"/>
        <v xml:space="preserve">Auburn </v>
      </c>
      <c r="H36" s="13">
        <f t="shared" ca="1" si="3"/>
        <v>26</v>
      </c>
      <c r="I36" s="12" t="str">
        <f t="shared" ca="1" si="4"/>
        <v xml:space="preserve">Auburn </v>
      </c>
      <c r="J36" s="13">
        <f t="shared" ca="1" si="5"/>
        <v>39</v>
      </c>
      <c r="K36" s="12" t="str">
        <f t="shared" ca="1" si="6"/>
        <v xml:space="preserve">Auburn </v>
      </c>
      <c r="L36" s="13">
        <f t="shared" ca="1" si="7"/>
        <v>34</v>
      </c>
      <c r="M36" s="12" t="str">
        <f t="shared" ca="1" si="8"/>
        <v xml:space="preserve">Auburn </v>
      </c>
      <c r="N36" s="13">
        <f t="shared" ca="1" si="9"/>
        <v>27</v>
      </c>
      <c r="O36" s="12" t="str">
        <f t="shared" ca="1" si="10"/>
        <v xml:space="preserve">Auburn </v>
      </c>
      <c r="P36" s="13">
        <f t="shared" ca="1" si="11"/>
        <v>38</v>
      </c>
      <c r="Q36" s="12" t="str">
        <f t="shared" ca="1" si="12"/>
        <v xml:space="preserve">Auburn </v>
      </c>
      <c r="R36" s="13">
        <f t="shared" ca="1" si="13"/>
        <v>39</v>
      </c>
      <c r="S36" s="12" t="str">
        <f t="shared" ca="1" si="14"/>
        <v>Minnesota</v>
      </c>
      <c r="T36" s="13">
        <f t="shared" ca="1" si="15"/>
        <v>2</v>
      </c>
      <c r="U36" s="12" t="str">
        <f t="shared" ca="1" si="16"/>
        <v>Minnesota</v>
      </c>
      <c r="V36" s="13">
        <f t="shared" ca="1" si="17"/>
        <v>22</v>
      </c>
      <c r="W36" s="12" t="str">
        <f t="shared" ca="1" si="18"/>
        <v>Minnesota</v>
      </c>
      <c r="X36" s="13">
        <f t="shared" ca="1" si="19"/>
        <v>27</v>
      </c>
      <c r="Y36" s="12" t="str">
        <f t="shared" ca="1" si="20"/>
        <v>Minnesota</v>
      </c>
      <c r="Z36" s="13">
        <f t="shared" ca="1" si="21"/>
        <v>14</v>
      </c>
      <c r="AA36" s="12" t="str">
        <f t="shared" ca="1" si="22"/>
        <v xml:space="preserve">Auburn </v>
      </c>
      <c r="AB36" s="13">
        <f t="shared" ca="1" si="23"/>
        <v>19</v>
      </c>
      <c r="AC36" s="12" t="str">
        <f t="shared" ca="1" si="24"/>
        <v>Minnesota</v>
      </c>
      <c r="AD36" s="13">
        <f t="shared" ca="1" si="25"/>
        <v>27</v>
      </c>
      <c r="AE36" s="12" t="str">
        <f t="shared" ca="1" si="26"/>
        <v>Minnesota</v>
      </c>
      <c r="AF36" s="13">
        <f t="shared" ca="1" si="27"/>
        <v>16</v>
      </c>
      <c r="AG36" s="12" t="str">
        <f t="shared" ca="1" si="28"/>
        <v xml:space="preserve">Auburn </v>
      </c>
      <c r="AH36" s="13">
        <f t="shared" ca="1" si="29"/>
        <v>15</v>
      </c>
    </row>
    <row r="37" spans="1:34" ht="15" hidden="1" thickTop="1" x14ac:dyDescent="0.35">
      <c r="A37" s="4">
        <v>43831</v>
      </c>
      <c r="B37" s="5" t="s">
        <v>107</v>
      </c>
      <c r="C37" s="12" t="s">
        <v>108</v>
      </c>
      <c r="D37" s="13" t="s">
        <v>109</v>
      </c>
      <c r="E37" s="12" t="str">
        <f t="shared" ca="1" si="0"/>
        <v xml:space="preserve">Oregon </v>
      </c>
      <c r="F37" s="13">
        <f t="shared" ca="1" si="1"/>
        <v>16</v>
      </c>
      <c r="G37" s="12" t="str">
        <f t="shared" ca="1" si="2"/>
        <v>Wisconsin</v>
      </c>
      <c r="H37" s="13">
        <f t="shared" ca="1" si="3"/>
        <v>7</v>
      </c>
      <c r="I37" s="12" t="str">
        <f t="shared" ca="1" si="4"/>
        <v>Wisconsin</v>
      </c>
      <c r="J37" s="13">
        <f t="shared" ca="1" si="5"/>
        <v>27</v>
      </c>
      <c r="K37" s="12" t="str">
        <f t="shared" ca="1" si="6"/>
        <v xml:space="preserve">Oregon </v>
      </c>
      <c r="L37" s="13">
        <f t="shared" ca="1" si="7"/>
        <v>2</v>
      </c>
      <c r="M37" s="12" t="str">
        <f t="shared" ca="1" si="8"/>
        <v>Wisconsin</v>
      </c>
      <c r="N37" s="13">
        <f t="shared" ca="1" si="9"/>
        <v>15</v>
      </c>
      <c r="O37" s="12" t="str">
        <f t="shared" ca="1" si="10"/>
        <v>Wisconsin</v>
      </c>
      <c r="P37" s="13">
        <f t="shared" ca="1" si="11"/>
        <v>10</v>
      </c>
      <c r="Q37" s="12" t="str">
        <f t="shared" ca="1" si="12"/>
        <v>Wisconsin</v>
      </c>
      <c r="R37" s="13">
        <f t="shared" ca="1" si="13"/>
        <v>33</v>
      </c>
      <c r="S37" s="12" t="str">
        <f t="shared" ca="1" si="14"/>
        <v>Wisconsin</v>
      </c>
      <c r="T37" s="13">
        <f t="shared" ca="1" si="15"/>
        <v>9</v>
      </c>
      <c r="U37" s="12" t="str">
        <f t="shared" ca="1" si="16"/>
        <v>Wisconsin</v>
      </c>
      <c r="V37" s="13">
        <f t="shared" ca="1" si="17"/>
        <v>3</v>
      </c>
      <c r="W37" s="12" t="str">
        <f t="shared" ca="1" si="18"/>
        <v xml:space="preserve">Oregon </v>
      </c>
      <c r="X37" s="13">
        <f t="shared" ca="1" si="19"/>
        <v>34</v>
      </c>
      <c r="Y37" s="12" t="str">
        <f t="shared" ca="1" si="20"/>
        <v>Wisconsin</v>
      </c>
      <c r="Z37" s="13">
        <f t="shared" ca="1" si="21"/>
        <v>15</v>
      </c>
      <c r="AA37" s="12" t="str">
        <f t="shared" ca="1" si="22"/>
        <v>Wisconsin</v>
      </c>
      <c r="AB37" s="13">
        <f t="shared" ca="1" si="23"/>
        <v>22</v>
      </c>
      <c r="AC37" s="12" t="str">
        <f t="shared" ca="1" si="24"/>
        <v>Wisconsin</v>
      </c>
      <c r="AD37" s="13">
        <f t="shared" ca="1" si="25"/>
        <v>32</v>
      </c>
      <c r="AE37" s="12" t="str">
        <f t="shared" ca="1" si="26"/>
        <v>Wisconsin</v>
      </c>
      <c r="AF37" s="13">
        <f t="shared" ca="1" si="27"/>
        <v>21</v>
      </c>
      <c r="AG37" s="12" t="str">
        <f t="shared" ca="1" si="28"/>
        <v>Wisconsin</v>
      </c>
      <c r="AH37" s="13">
        <f t="shared" ca="1" si="29"/>
        <v>3</v>
      </c>
    </row>
    <row r="38" spans="1:34" ht="15" hidden="1" thickTop="1" x14ac:dyDescent="0.35">
      <c r="A38" s="4">
        <v>43831</v>
      </c>
      <c r="B38" s="5" t="s">
        <v>110</v>
      </c>
      <c r="C38" s="12" t="s">
        <v>111</v>
      </c>
      <c r="D38" s="13" t="s">
        <v>112</v>
      </c>
      <c r="E38" s="12" t="str">
        <f t="shared" ca="1" si="0"/>
        <v>Baylor</v>
      </c>
      <c r="F38" s="13">
        <f t="shared" ca="1" si="1"/>
        <v>10</v>
      </c>
      <c r="G38" s="12" t="str">
        <f t="shared" ca="1" si="2"/>
        <v xml:space="preserve">Georgia </v>
      </c>
      <c r="H38" s="13">
        <f t="shared" ca="1" si="3"/>
        <v>19</v>
      </c>
      <c r="I38" s="12" t="str">
        <f t="shared" ca="1" si="4"/>
        <v xml:space="preserve">Georgia </v>
      </c>
      <c r="J38" s="13">
        <f t="shared" ca="1" si="5"/>
        <v>34</v>
      </c>
      <c r="K38" s="12" t="str">
        <f t="shared" ca="1" si="6"/>
        <v>Baylor</v>
      </c>
      <c r="L38" s="13">
        <f t="shared" ca="1" si="7"/>
        <v>3</v>
      </c>
      <c r="M38" s="12" t="str">
        <f t="shared" ca="1" si="8"/>
        <v xml:space="preserve">Georgia </v>
      </c>
      <c r="N38" s="13">
        <f t="shared" ca="1" si="9"/>
        <v>22</v>
      </c>
      <c r="O38" s="12" t="str">
        <f t="shared" ca="1" si="10"/>
        <v xml:space="preserve">Georgia </v>
      </c>
      <c r="P38" s="13">
        <f t="shared" ca="1" si="11"/>
        <v>34</v>
      </c>
      <c r="Q38" s="12" t="str">
        <f t="shared" ca="1" si="12"/>
        <v xml:space="preserve">Georgia </v>
      </c>
      <c r="R38" s="13">
        <f t="shared" ca="1" si="13"/>
        <v>36</v>
      </c>
      <c r="S38" s="12" t="str">
        <f t="shared" ca="1" si="14"/>
        <v xml:space="preserve">Georgia </v>
      </c>
      <c r="T38" s="13">
        <f t="shared" ca="1" si="15"/>
        <v>18</v>
      </c>
      <c r="U38" s="12" t="str">
        <f t="shared" ca="1" si="16"/>
        <v xml:space="preserve">Georgia </v>
      </c>
      <c r="V38" s="13">
        <f t="shared" ca="1" si="17"/>
        <v>20</v>
      </c>
      <c r="W38" s="12" t="str">
        <f t="shared" ca="1" si="18"/>
        <v xml:space="preserve">Georgia </v>
      </c>
      <c r="X38" s="13">
        <f t="shared" ca="1" si="19"/>
        <v>28</v>
      </c>
      <c r="Y38" s="12" t="str">
        <f t="shared" ca="1" si="20"/>
        <v>Baylor</v>
      </c>
      <c r="Z38" s="13">
        <f t="shared" ca="1" si="21"/>
        <v>1</v>
      </c>
      <c r="AA38" s="12" t="str">
        <f t="shared" ca="1" si="22"/>
        <v xml:space="preserve">Georgia </v>
      </c>
      <c r="AB38" s="13">
        <f t="shared" ca="1" si="23"/>
        <v>13</v>
      </c>
      <c r="AC38" s="12" t="str">
        <f t="shared" ca="1" si="24"/>
        <v xml:space="preserve">Georgia </v>
      </c>
      <c r="AD38" s="13">
        <f t="shared" ca="1" si="25"/>
        <v>37</v>
      </c>
      <c r="AE38" s="12" t="str">
        <f t="shared" ca="1" si="26"/>
        <v>Baylor</v>
      </c>
      <c r="AF38" s="13">
        <f t="shared" ca="1" si="27"/>
        <v>22</v>
      </c>
      <c r="AG38" s="12" t="str">
        <f t="shared" ca="1" si="28"/>
        <v xml:space="preserve">Georgia </v>
      </c>
      <c r="AH38" s="13">
        <f t="shared" ca="1" si="29"/>
        <v>2</v>
      </c>
    </row>
    <row r="39" spans="1:34" ht="15" hidden="1" thickTop="1" x14ac:dyDescent="0.35">
      <c r="A39" s="4">
        <v>43832</v>
      </c>
      <c r="B39" s="5" t="s">
        <v>113</v>
      </c>
      <c r="C39" s="12" t="s">
        <v>114</v>
      </c>
      <c r="D39" s="13" t="s">
        <v>115</v>
      </c>
      <c r="E39" s="12" t="str">
        <f t="shared" ca="1" si="0"/>
        <v>Cincinnati</v>
      </c>
      <c r="F39" s="13">
        <f t="shared" ca="1" si="1"/>
        <v>40</v>
      </c>
      <c r="G39" s="12" t="str">
        <f t="shared" ca="1" si="2"/>
        <v>Cincinnati</v>
      </c>
      <c r="H39" s="13">
        <f t="shared" ca="1" si="3"/>
        <v>33</v>
      </c>
      <c r="I39" s="12" t="str">
        <f t="shared" ca="1" si="4"/>
        <v>Cincinnati</v>
      </c>
      <c r="J39" s="13">
        <f t="shared" ca="1" si="5"/>
        <v>21</v>
      </c>
      <c r="K39" s="12" t="str">
        <f t="shared" ca="1" si="6"/>
        <v xml:space="preserve">Boston College </v>
      </c>
      <c r="L39" s="13">
        <f t="shared" ca="1" si="7"/>
        <v>4</v>
      </c>
      <c r="M39" s="12" t="str">
        <f t="shared" ca="1" si="8"/>
        <v>Cincinnati</v>
      </c>
      <c r="N39" s="13">
        <f t="shared" ca="1" si="9"/>
        <v>39</v>
      </c>
      <c r="O39" s="12" t="str">
        <f t="shared" ca="1" si="10"/>
        <v>Cincinnati</v>
      </c>
      <c r="P39" s="13">
        <f t="shared" ca="1" si="11"/>
        <v>26</v>
      </c>
      <c r="Q39" s="12" t="str">
        <f t="shared" ca="1" si="12"/>
        <v>Cincinnati</v>
      </c>
      <c r="R39" s="13">
        <f t="shared" ca="1" si="13"/>
        <v>25</v>
      </c>
      <c r="S39" s="12" t="str">
        <f t="shared" ca="1" si="14"/>
        <v>Cincinnati</v>
      </c>
      <c r="T39" s="13">
        <f t="shared" ca="1" si="15"/>
        <v>35</v>
      </c>
      <c r="U39" s="12" t="str">
        <f t="shared" ca="1" si="16"/>
        <v>Cincinnati</v>
      </c>
      <c r="V39" s="13">
        <f t="shared" ca="1" si="17"/>
        <v>34</v>
      </c>
      <c r="W39" s="12" t="str">
        <f t="shared" ca="1" si="18"/>
        <v>Cincinnati</v>
      </c>
      <c r="X39" s="13">
        <f t="shared" ca="1" si="19"/>
        <v>26</v>
      </c>
      <c r="Y39" s="12" t="str">
        <f t="shared" ca="1" si="20"/>
        <v>Cincinnati</v>
      </c>
      <c r="Z39" s="13">
        <f t="shared" ca="1" si="21"/>
        <v>16</v>
      </c>
      <c r="AA39" s="12" t="str">
        <f t="shared" ca="1" si="22"/>
        <v>Cincinnati</v>
      </c>
      <c r="AB39" s="13">
        <f t="shared" ca="1" si="23"/>
        <v>14</v>
      </c>
      <c r="AC39" s="12" t="str">
        <f t="shared" ca="1" si="24"/>
        <v>Cincinnati</v>
      </c>
      <c r="AD39" s="13">
        <f t="shared" ca="1" si="25"/>
        <v>36</v>
      </c>
      <c r="AE39" s="12" t="str">
        <f t="shared" ca="1" si="26"/>
        <v>Cincinnati</v>
      </c>
      <c r="AF39" s="13">
        <f t="shared" ca="1" si="27"/>
        <v>29</v>
      </c>
      <c r="AG39" s="12" t="str">
        <f t="shared" ca="1" si="28"/>
        <v>Cincinnati</v>
      </c>
      <c r="AH39" s="13">
        <f t="shared" ca="1" si="29"/>
        <v>33</v>
      </c>
    </row>
    <row r="40" spans="1:34" ht="15" hidden="1" thickTop="1" x14ac:dyDescent="0.35">
      <c r="A40" s="4">
        <v>43832</v>
      </c>
      <c r="B40" s="5" t="s">
        <v>116</v>
      </c>
      <c r="C40" s="12" t="s">
        <v>117</v>
      </c>
      <c r="D40" s="13" t="s">
        <v>118</v>
      </c>
      <c r="E40" s="12" t="str">
        <f t="shared" ca="1" si="0"/>
        <v xml:space="preserve">Tennessee </v>
      </c>
      <c r="F40" s="13">
        <f t="shared" ca="1" si="1"/>
        <v>11</v>
      </c>
      <c r="G40" s="12" t="str">
        <f t="shared" ca="1" si="2"/>
        <v xml:space="preserve">Tennessee </v>
      </c>
      <c r="H40" s="13">
        <f t="shared" ca="1" si="3"/>
        <v>2</v>
      </c>
      <c r="I40" s="12" t="str">
        <f t="shared" ca="1" si="4"/>
        <v xml:space="preserve">Tennessee </v>
      </c>
      <c r="J40" s="13">
        <f t="shared" ca="1" si="5"/>
        <v>23</v>
      </c>
      <c r="K40" s="12" t="str">
        <f t="shared" ca="1" si="6"/>
        <v>Indiana</v>
      </c>
      <c r="L40" s="13">
        <f t="shared" ca="1" si="7"/>
        <v>5</v>
      </c>
      <c r="M40" s="12" t="str">
        <f t="shared" ca="1" si="8"/>
        <v xml:space="preserve">Tennessee </v>
      </c>
      <c r="N40" s="13">
        <f t="shared" ca="1" si="9"/>
        <v>24</v>
      </c>
      <c r="O40" s="12" t="str">
        <f t="shared" ca="1" si="10"/>
        <v xml:space="preserve">Tennessee </v>
      </c>
      <c r="P40" s="13">
        <f t="shared" ca="1" si="11"/>
        <v>30</v>
      </c>
      <c r="Q40" s="12" t="str">
        <f t="shared" ca="1" si="12"/>
        <v>Indiana</v>
      </c>
      <c r="R40" s="13">
        <f t="shared" ca="1" si="13"/>
        <v>26</v>
      </c>
      <c r="S40" s="12" t="str">
        <f t="shared" ca="1" si="14"/>
        <v xml:space="preserve">Tennessee </v>
      </c>
      <c r="T40" s="13">
        <f t="shared" ca="1" si="15"/>
        <v>11</v>
      </c>
      <c r="U40" s="12" t="str">
        <f t="shared" ca="1" si="16"/>
        <v xml:space="preserve">Tennessee </v>
      </c>
      <c r="V40" s="13">
        <f t="shared" ca="1" si="17"/>
        <v>15</v>
      </c>
      <c r="W40" s="12" t="str">
        <f t="shared" ca="1" si="18"/>
        <v>Indiana</v>
      </c>
      <c r="X40" s="13">
        <f t="shared" ca="1" si="19"/>
        <v>23</v>
      </c>
      <c r="Y40" s="12" t="str">
        <f t="shared" ca="1" si="20"/>
        <v xml:space="preserve">Tennessee </v>
      </c>
      <c r="Z40" s="13">
        <f t="shared" ca="1" si="21"/>
        <v>17</v>
      </c>
      <c r="AA40" s="12" t="str">
        <f t="shared" ca="1" si="22"/>
        <v xml:space="preserve">Tennessee </v>
      </c>
      <c r="AB40" s="13">
        <f t="shared" ca="1" si="23"/>
        <v>15</v>
      </c>
      <c r="AC40" s="12" t="str">
        <f t="shared" ca="1" si="24"/>
        <v>Indiana</v>
      </c>
      <c r="AD40" s="13">
        <f t="shared" ca="1" si="25"/>
        <v>23</v>
      </c>
      <c r="AE40" s="12" t="str">
        <f t="shared" ca="1" si="26"/>
        <v xml:space="preserve">Tennessee </v>
      </c>
      <c r="AF40" s="13">
        <f t="shared" ca="1" si="27"/>
        <v>23</v>
      </c>
      <c r="AG40" s="12" t="str">
        <f t="shared" ca="1" si="28"/>
        <v>Indiana</v>
      </c>
      <c r="AH40" s="13">
        <f t="shared" ca="1" si="29"/>
        <v>35</v>
      </c>
    </row>
    <row r="41" spans="1:34" ht="15" hidden="1" thickTop="1" x14ac:dyDescent="0.35">
      <c r="A41" s="4">
        <v>43833</v>
      </c>
      <c r="B41" s="5" t="s">
        <v>119</v>
      </c>
      <c r="C41" s="12" t="s">
        <v>120</v>
      </c>
      <c r="D41" s="13" t="s">
        <v>121</v>
      </c>
      <c r="E41" s="12" t="str">
        <f t="shared" ca="1" si="0"/>
        <v xml:space="preserve">Ohio </v>
      </c>
      <c r="F41" s="13">
        <f t="shared" ca="1" si="1"/>
        <v>17</v>
      </c>
      <c r="G41" s="12" t="str">
        <f t="shared" ca="1" si="2"/>
        <v xml:space="preserve">Ohio </v>
      </c>
      <c r="H41" s="13">
        <f t="shared" ca="1" si="3"/>
        <v>30</v>
      </c>
      <c r="I41" s="12" t="str">
        <f t="shared" ca="1" si="4"/>
        <v xml:space="preserve">Ohio </v>
      </c>
      <c r="J41" s="13">
        <f t="shared" ca="1" si="5"/>
        <v>20</v>
      </c>
      <c r="K41" s="12" t="str">
        <f t="shared" ca="1" si="6"/>
        <v xml:space="preserve">Ohio </v>
      </c>
      <c r="L41" s="13">
        <f t="shared" ca="1" si="7"/>
        <v>6</v>
      </c>
      <c r="M41" s="12" t="str">
        <f t="shared" ca="1" si="8"/>
        <v xml:space="preserve">Ohio </v>
      </c>
      <c r="N41" s="13">
        <f t="shared" ca="1" si="9"/>
        <v>16</v>
      </c>
      <c r="O41" s="12" t="str">
        <f t="shared" ca="1" si="10"/>
        <v>Nevada</v>
      </c>
      <c r="P41" s="13">
        <f t="shared" ca="1" si="11"/>
        <v>23</v>
      </c>
      <c r="Q41" s="12" t="str">
        <f t="shared" ca="1" si="12"/>
        <v xml:space="preserve">Ohio </v>
      </c>
      <c r="R41" s="13">
        <f t="shared" ca="1" si="13"/>
        <v>7</v>
      </c>
      <c r="S41" s="12" t="str">
        <f t="shared" ca="1" si="14"/>
        <v xml:space="preserve">Ohio </v>
      </c>
      <c r="T41" s="13">
        <f t="shared" ca="1" si="15"/>
        <v>23</v>
      </c>
      <c r="U41" s="12" t="str">
        <f t="shared" ca="1" si="16"/>
        <v>Nevada</v>
      </c>
      <c r="V41" s="13">
        <f t="shared" ca="1" si="17"/>
        <v>28</v>
      </c>
      <c r="W41" s="12" t="str">
        <f t="shared" ca="1" si="18"/>
        <v xml:space="preserve">Ohio </v>
      </c>
      <c r="X41" s="13">
        <f t="shared" ca="1" si="19"/>
        <v>24</v>
      </c>
      <c r="Y41" s="12" t="str">
        <f t="shared" ca="1" si="20"/>
        <v>Nevada</v>
      </c>
      <c r="Z41" s="13">
        <f t="shared" ca="1" si="21"/>
        <v>27</v>
      </c>
      <c r="AA41" s="12" t="str">
        <f t="shared" ca="1" si="22"/>
        <v>Nevada</v>
      </c>
      <c r="AB41" s="13">
        <f t="shared" ca="1" si="23"/>
        <v>16</v>
      </c>
      <c r="AC41" s="12" t="str">
        <f t="shared" ca="1" si="24"/>
        <v xml:space="preserve">Ohio </v>
      </c>
      <c r="AD41" s="13">
        <f t="shared" ca="1" si="25"/>
        <v>31</v>
      </c>
      <c r="AE41" s="12" t="str">
        <f t="shared" ca="1" si="26"/>
        <v xml:space="preserve">Ohio </v>
      </c>
      <c r="AF41" s="13">
        <f t="shared" ca="1" si="27"/>
        <v>17</v>
      </c>
      <c r="AG41" s="12" t="str">
        <f t="shared" ca="1" si="28"/>
        <v>Nevada</v>
      </c>
      <c r="AH41" s="13">
        <f t="shared" ca="1" si="29"/>
        <v>27</v>
      </c>
    </row>
    <row r="42" spans="1:34" ht="15" hidden="1" thickTop="1" x14ac:dyDescent="0.35">
      <c r="A42" s="4">
        <v>43834</v>
      </c>
      <c r="B42" s="5" t="s">
        <v>122</v>
      </c>
      <c r="C42" s="12" t="s">
        <v>123</v>
      </c>
      <c r="D42" s="13" t="s">
        <v>124</v>
      </c>
      <c r="E42" s="12" t="str">
        <f t="shared" ca="1" si="0"/>
        <v xml:space="preserve">Tulane </v>
      </c>
      <c r="F42" s="13">
        <f t="shared" ca="1" si="1"/>
        <v>13</v>
      </c>
      <c r="G42" s="12" t="str">
        <f t="shared" ca="1" si="2"/>
        <v xml:space="preserve">Tulane </v>
      </c>
      <c r="H42" s="13">
        <f t="shared" ca="1" si="3"/>
        <v>32</v>
      </c>
      <c r="I42" s="12" t="str">
        <f t="shared" ca="1" si="4"/>
        <v xml:space="preserve">Tulane </v>
      </c>
      <c r="J42" s="13">
        <f t="shared" ca="1" si="5"/>
        <v>24</v>
      </c>
      <c r="K42" s="12" t="str">
        <f t="shared" ca="1" si="6"/>
        <v xml:space="preserve">Tulane </v>
      </c>
      <c r="L42" s="13">
        <f t="shared" ca="1" si="7"/>
        <v>16</v>
      </c>
      <c r="M42" s="12" t="str">
        <f t="shared" ca="1" si="8"/>
        <v>Southern Miss</v>
      </c>
      <c r="N42" s="13">
        <f t="shared" ca="1" si="9"/>
        <v>13</v>
      </c>
      <c r="O42" s="12" t="str">
        <f t="shared" ca="1" si="10"/>
        <v xml:space="preserve">Tulane </v>
      </c>
      <c r="P42" s="13">
        <f t="shared" ca="1" si="11"/>
        <v>24</v>
      </c>
      <c r="Q42" s="12" t="str">
        <f t="shared" ca="1" si="12"/>
        <v>Southern Miss</v>
      </c>
      <c r="R42" s="13">
        <f t="shared" ca="1" si="13"/>
        <v>8</v>
      </c>
      <c r="S42" s="12" t="str">
        <f t="shared" ca="1" si="14"/>
        <v xml:space="preserve">Tulane </v>
      </c>
      <c r="T42" s="13">
        <f t="shared" ca="1" si="15"/>
        <v>28</v>
      </c>
      <c r="U42" s="12" t="str">
        <f t="shared" ca="1" si="16"/>
        <v xml:space="preserve">Tulane </v>
      </c>
      <c r="V42" s="13">
        <f t="shared" ca="1" si="17"/>
        <v>31</v>
      </c>
      <c r="W42" s="12" t="str">
        <f t="shared" ca="1" si="18"/>
        <v xml:space="preserve">Tulane </v>
      </c>
      <c r="X42" s="13">
        <f t="shared" ca="1" si="19"/>
        <v>29</v>
      </c>
      <c r="Y42" s="12" t="str">
        <f t="shared" ca="1" si="20"/>
        <v>Southern Miss</v>
      </c>
      <c r="Z42" s="13">
        <f t="shared" ca="1" si="21"/>
        <v>26</v>
      </c>
      <c r="AA42" s="12" t="str">
        <f t="shared" ca="1" si="22"/>
        <v xml:space="preserve">Tulane </v>
      </c>
      <c r="AB42" s="13">
        <f t="shared" ca="1" si="23"/>
        <v>17</v>
      </c>
      <c r="AC42" s="12" t="str">
        <f t="shared" ca="1" si="24"/>
        <v xml:space="preserve">Tulane </v>
      </c>
      <c r="AD42" s="13">
        <f t="shared" ca="1" si="25"/>
        <v>3</v>
      </c>
      <c r="AE42" s="12" t="str">
        <f t="shared" ca="1" si="26"/>
        <v xml:space="preserve">Tulane </v>
      </c>
      <c r="AF42" s="13">
        <f t="shared" ca="1" si="27"/>
        <v>14</v>
      </c>
      <c r="AG42" s="12" t="str">
        <f t="shared" ca="1" si="28"/>
        <v>Southern Miss</v>
      </c>
      <c r="AH42" s="13">
        <f t="shared" ca="1" si="29"/>
        <v>8</v>
      </c>
    </row>
    <row r="43" spans="1:34" ht="15.5" thickTop="1" thickBot="1" x14ac:dyDescent="0.4">
      <c r="A43" s="15">
        <v>43836</v>
      </c>
      <c r="B43" s="16" t="s">
        <v>125</v>
      </c>
      <c r="C43" s="17" t="s">
        <v>126</v>
      </c>
      <c r="D43" s="18" t="s">
        <v>127</v>
      </c>
      <c r="E43" s="17" t="str">
        <f t="shared" ca="1" si="0"/>
        <v xml:space="preserve">Louisiana </v>
      </c>
      <c r="F43" s="18">
        <f t="shared" ca="1" si="1"/>
        <v>26</v>
      </c>
      <c r="G43" s="17" t="str">
        <f t="shared" ca="1" si="2"/>
        <v xml:space="preserve">Louisiana </v>
      </c>
      <c r="H43" s="13">
        <f t="shared" ca="1" si="3"/>
        <v>34</v>
      </c>
      <c r="I43" s="17" t="str">
        <f t="shared" ca="1" si="4"/>
        <v>Miami(OH)</v>
      </c>
      <c r="J43" s="13">
        <f t="shared" ca="1" si="5"/>
        <v>6</v>
      </c>
      <c r="K43" s="17" t="str">
        <f t="shared" ca="1" si="6"/>
        <v xml:space="preserve">Louisiana </v>
      </c>
      <c r="L43" s="18">
        <f t="shared" ca="1" si="7"/>
        <v>35</v>
      </c>
      <c r="M43" s="17" t="str">
        <f t="shared" ca="1" si="8"/>
        <v xml:space="preserve">Louisiana </v>
      </c>
      <c r="N43" s="13">
        <f t="shared" ca="1" si="9"/>
        <v>32</v>
      </c>
      <c r="O43" s="17" t="str">
        <f t="shared" ca="1" si="10"/>
        <v xml:space="preserve">Louisiana </v>
      </c>
      <c r="P43" s="13">
        <f t="shared" ca="1" si="11"/>
        <v>17</v>
      </c>
      <c r="Q43" s="17" t="str">
        <f t="shared" ca="1" si="12"/>
        <v>Miami(OH)</v>
      </c>
      <c r="R43" s="13">
        <f t="shared" ca="1" si="13"/>
        <v>11</v>
      </c>
      <c r="S43" s="17" t="str">
        <f t="shared" ca="1" si="14"/>
        <v xml:space="preserve">Louisiana </v>
      </c>
      <c r="T43" s="18">
        <f t="shared" ca="1" si="15"/>
        <v>34</v>
      </c>
      <c r="U43" s="17" t="str">
        <f t="shared" ca="1" si="16"/>
        <v xml:space="preserve">Louisiana </v>
      </c>
      <c r="V43" s="18">
        <f t="shared" ca="1" si="17"/>
        <v>25</v>
      </c>
      <c r="W43" s="17" t="str">
        <f t="shared" ca="1" si="18"/>
        <v>Miami(OH)</v>
      </c>
      <c r="X43" s="18">
        <f t="shared" ca="1" si="19"/>
        <v>33</v>
      </c>
      <c r="Y43" s="17" t="str">
        <f t="shared" ca="1" si="20"/>
        <v>Miami(OH)</v>
      </c>
      <c r="Z43" s="18">
        <f t="shared" ca="1" si="21"/>
        <v>18</v>
      </c>
      <c r="AA43" s="17" t="str">
        <f t="shared" ca="1" si="22"/>
        <v xml:space="preserve">Louisiana </v>
      </c>
      <c r="AB43" s="18">
        <f t="shared" ca="1" si="23"/>
        <v>18</v>
      </c>
      <c r="AC43" s="17" t="str">
        <f t="shared" ca="1" si="24"/>
        <v>Miami(OH)</v>
      </c>
      <c r="AD43" s="18">
        <f t="shared" ca="1" si="25"/>
        <v>40</v>
      </c>
      <c r="AE43" s="17" t="str">
        <f t="shared" ca="1" si="26"/>
        <v>Miami(OH)</v>
      </c>
      <c r="AF43" s="18">
        <f t="shared" ca="1" si="27"/>
        <v>13</v>
      </c>
      <c r="AG43" s="17" t="str">
        <f t="shared" ca="1" si="28"/>
        <v xml:space="preserve">Louisiana </v>
      </c>
      <c r="AH43" s="18">
        <f t="shared" ca="1" si="29"/>
        <v>13</v>
      </c>
    </row>
  </sheetData>
  <autoFilter ref="A3:AH43" xr:uid="{6A3976DF-A3FE-4632-940A-8451BC8B00F8}">
    <filterColumn colId="0">
      <customFilters>
        <customFilter operator="greaterThanOrEqual" val="43835"/>
      </customFilters>
    </filterColumn>
    <filterColumn colId="2" showButton="0"/>
    <filterColumn colId="4" showButton="0"/>
    <filterColumn colId="6" showButton="0"/>
    <filterColumn colId="8" showButton="0"/>
    <filterColumn colId="10" showButton="0"/>
    <filterColumn colId="12" showButton="0"/>
    <filterColumn colId="14" showButton="0"/>
    <filterColumn colId="16" showButton="0"/>
    <filterColumn colId="18" showButton="0"/>
    <filterColumn colId="20" showButton="0"/>
    <filterColumn colId="22" showButton="0"/>
    <filterColumn colId="24" showButton="0"/>
    <filterColumn colId="26" showButton="0"/>
    <filterColumn colId="28" showButton="0"/>
    <filterColumn colId="30" showButton="0"/>
    <filterColumn colId="32" showButton="0"/>
  </autoFilter>
  <mergeCells count="16">
    <mergeCell ref="AA3:AB3"/>
    <mergeCell ref="AC3:AD3"/>
    <mergeCell ref="AE3:AF3"/>
    <mergeCell ref="AG3:AH3"/>
    <mergeCell ref="O3:P3"/>
    <mergeCell ref="Q3:R3"/>
    <mergeCell ref="S3:T3"/>
    <mergeCell ref="U3:V3"/>
    <mergeCell ref="W3:X3"/>
    <mergeCell ref="Y3:Z3"/>
    <mergeCell ref="M3:N3"/>
    <mergeCell ref="C3:D3"/>
    <mergeCell ref="E3:F3"/>
    <mergeCell ref="G3:H3"/>
    <mergeCell ref="I3:J3"/>
    <mergeCell ref="K3:L3"/>
  </mergeCells>
  <pageMargins left="0.7" right="0.7" top="0.75" bottom="0.75" header="0.3" footer="0.3"/>
  <pageSetup orientation="portrait" horizontalDpi="4294967295" verticalDpi="4294967295" r:id="rId1"/>
  <ignoredErrors>
    <ignoredError sqref="X4" formula="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B0400-90D8-482D-BC26-8C291F119EB4}">
  <sheetPr codeName="Sheet7"/>
  <dimension ref="A1:S44"/>
  <sheetViews>
    <sheetView showGridLines="0" workbookViewId="0">
      <selection activeCell="R12" sqref="R12"/>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x14ac:dyDescent="0.35">
      <c r="A1" s="105" t="s">
        <v>0</v>
      </c>
      <c r="B1" s="105" t="str">
        <f>IF(ISBLANK([2]Instructions!G3),"",[2]Instructions!G3)</f>
        <v>Michael</v>
      </c>
      <c r="F1" s="107" t="s">
        <v>1</v>
      </c>
      <c r="G1" s="105" t="str">
        <f>IF(ISBLANK([2]Instructions!G4),"",[2]Instructions!G4)</f>
        <v>Yes</v>
      </c>
      <c r="H1">
        <v>1</v>
      </c>
      <c r="I1" s="1" t="str">
        <f t="shared" ref="I1:I40" si="0">IF(COUNTIF($F$4:$F$43,H1)&gt;=1,"",ROW())</f>
        <v/>
      </c>
      <c r="J1" s="1" t="str" cm="1">
        <f t="array" ref="J1">IF(ROW(G4)-ROW(G$4)+1&gt;COUNT(I$1:I$40),"",INDEX(H:H,SMALL(I$1:I$40,1+ROW(G4)-ROW(G$4))))</f>
        <v/>
      </c>
    </row>
    <row r="2" spans="1:19" ht="15"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cm="1">
        <f t="array" ref="J3">IF(ROW(G6)-ROW(G$4)+1&gt;COUNT(I$1:I$40),"",INDEX(H:H,SMALL(I$1:I$40,1+ROW(G6)-ROW(G$4))))</f>
        <v/>
      </c>
      <c r="P3" t="str">
        <f ca="1">_xlfn.CONCAT(COUNTIF(P4:P43,"Right")&amp;"/"&amp;(COUNTIF(P4:P43,"Right")+COUNTIF(P4:P43,"Wrong")))</f>
        <v>31/40</v>
      </c>
    </row>
    <row r="4" spans="1:19" ht="18" customHeight="1" thickTop="1" x14ac:dyDescent="0.4">
      <c r="A4" s="4">
        <v>43819</v>
      </c>
      <c r="B4" s="5" t="s">
        <v>8</v>
      </c>
      <c r="C4" s="6" t="s">
        <v>9</v>
      </c>
      <c r="D4" s="7" t="s">
        <v>10</v>
      </c>
      <c r="E4" s="8" t="s">
        <v>9</v>
      </c>
      <c r="F4" s="9">
        <v>28</v>
      </c>
      <c r="G4" s="10" t="str" cm="1">
        <f t="array" ref="G4">IF(ROW(G4)-ROW(G$4)+1&gt;COUNT(I$1:I$40),"",INDEX(H:H,SMALL(I$1:I$40,1+ROW(G4)-ROW(G$4))))</f>
        <v/>
      </c>
      <c r="H4">
        <v>4</v>
      </c>
      <c r="I4" s="1" t="str">
        <f t="shared" si="0"/>
        <v/>
      </c>
      <c r="J4" s="1" t="str" cm="1">
        <f t="array" ref="J4">IF(ROW(G7)-ROW(G$4)+1&gt;COUNT(I$1:I$40),"",INDEX(H:H,SMALL(I$1:I$40,1+ROW(G7)-ROW(G$4))))</f>
        <v/>
      </c>
      <c r="N4" s="11"/>
      <c r="P4" t="str">
        <f ca="1">IF(Summary!E5="","",IF(F4=Summary!E5,"Right","Wrong"))</f>
        <v>Right</v>
      </c>
    </row>
    <row r="5" spans="1:19" ht="18" customHeight="1" x14ac:dyDescent="0.4">
      <c r="A5" s="4">
        <v>43819</v>
      </c>
      <c r="B5" s="5" t="s">
        <v>11</v>
      </c>
      <c r="C5" s="12" t="s">
        <v>12</v>
      </c>
      <c r="D5" s="13" t="s">
        <v>13</v>
      </c>
      <c r="E5" s="8" t="s">
        <v>12</v>
      </c>
      <c r="F5" s="9">
        <v>36</v>
      </c>
      <c r="G5" s="10" t="str" cm="1">
        <f t="array" ref="G5">IF(ROW(G5)-ROW(G$4)+1&gt;COUNT(I$1:I$40),"",INDEX(H:H,SMALL(I$1:I$40,1+ROW(G5)-ROW(G$4))))</f>
        <v/>
      </c>
      <c r="H5">
        <v>5</v>
      </c>
      <c r="I5" s="1" t="str">
        <f t="shared" si="0"/>
        <v/>
      </c>
      <c r="J5" s="1" t="str" cm="1">
        <f t="array" ref="J5">IF(ROW(G8)-ROW(G$4)+1&gt;COUNT(I$1:I$40),"",INDEX(H:H,SMALL(I$1:I$40,1+ROW(G8)-ROW(G$4))))</f>
        <v/>
      </c>
      <c r="P5" t="str">
        <f ca="1">IF(Summary!E6="","",IF(F5=Summary!E6,"Right","Wrong"))</f>
        <v>Wrong</v>
      </c>
    </row>
    <row r="6" spans="1:19" ht="18" customHeight="1" x14ac:dyDescent="0.4">
      <c r="A6" s="4">
        <v>43820</v>
      </c>
      <c r="B6" s="5" t="s">
        <v>14</v>
      </c>
      <c r="C6" s="12" t="s">
        <v>15</v>
      </c>
      <c r="D6" s="13" t="s">
        <v>16</v>
      </c>
      <c r="E6" s="8" t="s">
        <v>16</v>
      </c>
      <c r="F6" s="9">
        <v>1</v>
      </c>
      <c r="G6" s="10" t="str" cm="1">
        <f t="array" ref="G6">IF(ROW(G6)-ROW(G$4)+1&gt;COUNT(I$1:I$40),"",INDEX(H:H,SMALL(I$1:I$40,1+ROW(G6)-ROW(G$4))))</f>
        <v/>
      </c>
      <c r="H6">
        <v>6</v>
      </c>
      <c r="I6" s="1" t="str">
        <f t="shared" si="0"/>
        <v/>
      </c>
      <c r="J6" s="1" t="str" cm="1">
        <f t="array" ref="J6">IF(ROW(G9)-ROW(G$4)+1&gt;COUNT(I$1:I$40),"",INDEX(H:H,SMALL(I$1:I$40,1+ROW(G9)-ROW(G$4))))</f>
        <v/>
      </c>
      <c r="N6" t="e" cm="1">
        <f t="array" aca="1" ref="N6" ca="1">OFFSET([2]Games!$J$1,0,0,COUNTA([2]Games!$J$1:$J$41)-COUNTBLANK([2]Games!$J$1:$J$41),1)</f>
        <v>#VALUE!</v>
      </c>
      <c r="P6" t="str">
        <f ca="1">IF(Summary!E7="","",IF(F6=Summary!E7,"Right","Wrong"))</f>
        <v>Right</v>
      </c>
    </row>
    <row r="7" spans="1:19" ht="18" customHeight="1" x14ac:dyDescent="0.4">
      <c r="A7" s="4">
        <v>43820</v>
      </c>
      <c r="B7" s="5" t="s">
        <v>17</v>
      </c>
      <c r="C7" s="12" t="s">
        <v>18</v>
      </c>
      <c r="D7" s="13" t="s">
        <v>19</v>
      </c>
      <c r="E7" s="8" t="s">
        <v>18</v>
      </c>
      <c r="F7" s="9">
        <v>25</v>
      </c>
      <c r="G7" s="10" t="str" cm="1">
        <f t="array" ref="G7">IF(ROW(G7)-ROW(G$4)+1&gt;COUNT(I$1:I$40),"",INDEX(H:H,SMALL(I$1:I$40,1+ROW(G7)-ROW(G$4))))</f>
        <v/>
      </c>
      <c r="H7">
        <v>7</v>
      </c>
      <c r="I7" s="1" t="str">
        <f t="shared" si="0"/>
        <v/>
      </c>
      <c r="J7" s="1" t="str" cm="1">
        <f t="array" ref="J7">IF(ROW(G10)-ROW(G$4)+1&gt;COUNT(I$1:I$40),"",INDEX(H:H,SMALL(I$1:I$40,1+ROW(G10)-ROW(G$4))))</f>
        <v/>
      </c>
      <c r="P7" t="str">
        <f ca="1">IF(Summary!E8="","",IF(F7=Summary!E8,"Right","Wrong"))</f>
        <v>Right</v>
      </c>
      <c r="R7" s="103"/>
      <c r="S7" s="103"/>
    </row>
    <row r="8" spans="1:19" ht="18" customHeight="1" x14ac:dyDescent="0.4">
      <c r="A8" s="4">
        <v>43820</v>
      </c>
      <c r="B8" s="5" t="s">
        <v>20</v>
      </c>
      <c r="C8" s="12" t="s">
        <v>21</v>
      </c>
      <c r="D8" s="13" t="s">
        <v>22</v>
      </c>
      <c r="E8" s="8" t="s">
        <v>22</v>
      </c>
      <c r="F8" s="9">
        <v>3</v>
      </c>
      <c r="G8" s="10" t="str" cm="1">
        <f t="array" ref="G8">IF(ROW(G8)-ROW(G$4)+1&gt;COUNT(I$1:I$40),"",INDEX(H:H,SMALL(I$1:I$40,1+ROW(G8)-ROW(G$4))))</f>
        <v/>
      </c>
      <c r="H8">
        <v>8</v>
      </c>
      <c r="I8" s="1" t="str">
        <f t="shared" si="0"/>
        <v/>
      </c>
      <c r="J8" s="1" t="str" cm="1">
        <f t="array" ref="J8">IF(ROW(G11)-ROW(G$4)+1&gt;COUNT(I$1:I$40),"",INDEX(H:H,SMALL(I$1:I$40,1+ROW(G11)-ROW(G$4))))</f>
        <v/>
      </c>
      <c r="P8" t="str">
        <f ca="1">IF(Summary!E9="","",IF(F8=Summary!E9,"Right","Wrong"))</f>
        <v>Right</v>
      </c>
      <c r="R8" s="103"/>
      <c r="S8" s="103"/>
    </row>
    <row r="9" spans="1:19" ht="18" customHeight="1" x14ac:dyDescent="0.4">
      <c r="A9" s="4">
        <v>43820</v>
      </c>
      <c r="B9" s="5" t="s">
        <v>23</v>
      </c>
      <c r="C9" s="12" t="s">
        <v>24</v>
      </c>
      <c r="D9" s="13" t="s">
        <v>25</v>
      </c>
      <c r="E9" s="8" t="s">
        <v>24</v>
      </c>
      <c r="F9" s="9">
        <v>31</v>
      </c>
      <c r="G9" s="10" t="str" cm="1">
        <f t="array" ref="G9">IF(ROW(G9)-ROW(G$4)+1&gt;COUNT(I$1:I$40),"",INDEX(H:H,SMALL(I$1:I$40,1+ROW(G9)-ROW(G$4))))</f>
        <v/>
      </c>
      <c r="H9">
        <v>9</v>
      </c>
      <c r="I9" s="1" t="str">
        <f t="shared" si="0"/>
        <v/>
      </c>
      <c r="J9" s="1" t="str" cm="1">
        <f t="array" ref="J9">IF(ROW(G12)-ROW(G$4)+1&gt;COUNT(I$1:I$40),"",INDEX(H:H,SMALL(I$1:I$40,1+ROW(G12)-ROW(G$4))))</f>
        <v/>
      </c>
      <c r="P9" t="str">
        <f ca="1">IF(Summary!E10="","",IF(F9=Summary!E10,"Right","Wrong"))</f>
        <v>Wrong</v>
      </c>
    </row>
    <row r="10" spans="1:19" ht="18" customHeight="1" x14ac:dyDescent="0.4">
      <c r="A10" s="4">
        <v>43820</v>
      </c>
      <c r="B10" s="5" t="s">
        <v>26</v>
      </c>
      <c r="C10" s="12" t="s">
        <v>27</v>
      </c>
      <c r="D10" s="13" t="s">
        <v>28</v>
      </c>
      <c r="E10" s="8" t="s">
        <v>27</v>
      </c>
      <c r="F10" s="9">
        <v>4</v>
      </c>
      <c r="G10" s="10" t="str" cm="1">
        <f t="array" ref="G10">IF(ROW(G10)-ROW(G$4)+1&gt;COUNT(I$1:I$40),"",INDEX(H:H,SMALL(I$1:I$40,1+ROW(G10)-ROW(G$4))))</f>
        <v/>
      </c>
      <c r="H10">
        <v>10</v>
      </c>
      <c r="I10" s="1" t="str">
        <f t="shared" si="0"/>
        <v/>
      </c>
      <c r="J10" s="1" t="str" cm="1">
        <f t="array" ref="J10">IF(ROW(G13)-ROW(G$4)+1&gt;COUNT(I$1:I$40),"",INDEX(H:H,SMALL(I$1:I$40,1+ROW(G13)-ROW(G$4))))</f>
        <v/>
      </c>
      <c r="P10" t="str">
        <f ca="1">IF(Summary!E11="","",IF(F10=Summary!E11,"Right","Wrong"))</f>
        <v>Wrong</v>
      </c>
    </row>
    <row r="11" spans="1:19" ht="18" customHeight="1" x14ac:dyDescent="0.4">
      <c r="A11" s="4">
        <v>43820</v>
      </c>
      <c r="B11" s="5" t="s">
        <v>29</v>
      </c>
      <c r="C11" s="12" t="s">
        <v>30</v>
      </c>
      <c r="D11" s="13" t="s">
        <v>31</v>
      </c>
      <c r="E11" s="8" t="s">
        <v>30</v>
      </c>
      <c r="F11" s="9">
        <v>21</v>
      </c>
      <c r="G11" s="10" t="str" cm="1">
        <f t="array" ref="G11">IF(ROW(G11)-ROW(G$4)+1&gt;COUNT(I$1:I$40),"",INDEX(H:H,SMALL(I$1:I$40,1+ROW(G11)-ROW(G$4))))</f>
        <v/>
      </c>
      <c r="H11">
        <v>11</v>
      </c>
      <c r="I11" s="1" t="str">
        <f t="shared" si="0"/>
        <v/>
      </c>
      <c r="J11" s="1" t="str" cm="1">
        <f t="array" ref="J11">IF(ROW(G14)-ROW(G$4)+1&gt;COUNT(I$1:I$40),"",INDEX(H:H,SMALL(I$1:I$40,1+ROW(G14)-ROW(G$4))))</f>
        <v/>
      </c>
      <c r="P11" t="str">
        <f ca="1">IF(Summary!E12="","",IF(F11=Summary!E12,"Right","Wrong"))</f>
        <v>Right</v>
      </c>
    </row>
    <row r="12" spans="1:19" ht="18" customHeight="1" x14ac:dyDescent="0.4">
      <c r="A12" s="4">
        <v>43820</v>
      </c>
      <c r="B12" s="5" t="s">
        <v>32</v>
      </c>
      <c r="C12" s="12" t="s">
        <v>33</v>
      </c>
      <c r="D12" s="13" t="s">
        <v>34</v>
      </c>
      <c r="E12" s="8" t="s">
        <v>33</v>
      </c>
      <c r="F12" s="9">
        <v>39</v>
      </c>
      <c r="G12" s="10" t="str" cm="1">
        <f t="array" ref="G12">IF(ROW(G12)-ROW(G$4)+1&gt;COUNT(I$1:I$40),"",INDEX(H:H,SMALL(I$1:I$40,1+ROW(G12)-ROW(G$4))))</f>
        <v/>
      </c>
      <c r="H12">
        <v>12</v>
      </c>
      <c r="I12" s="1" t="str">
        <f t="shared" si="0"/>
        <v/>
      </c>
      <c r="J12" s="1" t="str" cm="1">
        <f t="array" ref="J12">IF(ROW(G15)-ROW(G$4)+1&gt;COUNT(I$1:I$40),"",INDEX(H:H,SMALL(I$1:I$40,1+ROW(G15)-ROW(G$4))))</f>
        <v/>
      </c>
      <c r="P12" t="str">
        <f ca="1">IF(Summary!E13="","",IF(F12=Summary!E13,"Right","Wrong"))</f>
        <v>Right</v>
      </c>
    </row>
    <row r="13" spans="1:19" ht="18" customHeight="1" x14ac:dyDescent="0.4">
      <c r="A13" s="4">
        <v>43822</v>
      </c>
      <c r="B13" s="5" t="s">
        <v>35</v>
      </c>
      <c r="C13" s="12" t="s">
        <v>36</v>
      </c>
      <c r="D13" s="13" t="s">
        <v>37</v>
      </c>
      <c r="E13" s="8" t="s">
        <v>36</v>
      </c>
      <c r="F13" s="9">
        <v>35</v>
      </c>
      <c r="G13" s="10" t="str" cm="1">
        <f t="array" ref="G13">IF(ROW(G13)-ROW(G$4)+1&gt;COUNT(I$1:I$40),"",INDEX(H:H,SMALL(I$1:I$40,1+ROW(G13)-ROW(G$4))))</f>
        <v/>
      </c>
      <c r="H13">
        <v>13</v>
      </c>
      <c r="I13" s="1" t="str">
        <f t="shared" si="0"/>
        <v/>
      </c>
      <c r="J13" s="1" t="str" cm="1">
        <f t="array" ref="J13">IF(ROW(G16)-ROW(G$4)+1&gt;COUNT(I$1:I$40),"",INDEX(H:H,SMALL(I$1:I$40,1+ROW(G16)-ROW(G$4))))</f>
        <v/>
      </c>
      <c r="P13" t="str">
        <f ca="1">IF(Summary!E14="","",IF(F13=Summary!E14,"Right","Wrong"))</f>
        <v>Right</v>
      </c>
    </row>
    <row r="14" spans="1:19" ht="18" customHeight="1" x14ac:dyDescent="0.4">
      <c r="A14" s="4">
        <v>43823</v>
      </c>
      <c r="B14" s="5" t="s">
        <v>38</v>
      </c>
      <c r="C14" s="12" t="s">
        <v>39</v>
      </c>
      <c r="D14" s="13" t="s">
        <v>40</v>
      </c>
      <c r="E14" s="8" t="s">
        <v>39</v>
      </c>
      <c r="F14" s="9">
        <v>7</v>
      </c>
      <c r="G14" s="10" t="str" cm="1">
        <f t="array" ref="G14">IF(ROW(G14)-ROW(G$4)+1&gt;COUNT(I$1:I$40),"",INDEX(H:H,SMALL(I$1:I$40,1+ROW(G14)-ROW(G$4))))</f>
        <v/>
      </c>
      <c r="H14">
        <v>14</v>
      </c>
      <c r="I14" s="1" t="str">
        <f t="shared" si="0"/>
        <v/>
      </c>
      <c r="J14" s="1" t="str" cm="1">
        <f t="array" ref="J14">IF(ROW(G17)-ROW(G$4)+1&gt;COUNT(I$1:I$40),"",INDEX(H:H,SMALL(I$1:I$40,1+ROW(G17)-ROW(G$4))))</f>
        <v/>
      </c>
      <c r="P14" t="str">
        <f ca="1">IF(Summary!E15="","",IF(F14=Summary!E15,"Right","Wrong"))</f>
        <v>Right</v>
      </c>
    </row>
    <row r="15" spans="1:19" ht="18" customHeight="1" x14ac:dyDescent="0.4">
      <c r="A15" s="4">
        <v>43825</v>
      </c>
      <c r="B15" s="5" t="s">
        <v>41</v>
      </c>
      <c r="C15" s="12" t="s">
        <v>42</v>
      </c>
      <c r="D15" s="13" t="s">
        <v>43</v>
      </c>
      <c r="E15" s="8" t="s">
        <v>43</v>
      </c>
      <c r="F15" s="9">
        <v>2</v>
      </c>
      <c r="G15" s="10" t="str" cm="1">
        <f t="array" ref="G15">IF(ROW(G15)-ROW(G$4)+1&gt;COUNT(I$1:I$40),"",INDEX(H:H,SMALL(I$1:I$40,1+ROW(G15)-ROW(G$4))))</f>
        <v/>
      </c>
      <c r="H15">
        <v>15</v>
      </c>
      <c r="I15" s="1" t="str">
        <f t="shared" si="0"/>
        <v/>
      </c>
      <c r="J15" s="1" t="str" cm="1">
        <f t="array" ref="J15">IF(ROW(G18)-ROW(G$4)+1&gt;COUNT(I$1:I$40),"",INDEX(H:H,SMALL(I$1:I$40,1+ROW(G18)-ROW(G$4))))</f>
        <v/>
      </c>
      <c r="P15" t="str">
        <f ca="1">IF(Summary!E16="","",IF(F15=Summary!E16,"Right","Wrong"))</f>
        <v>Right</v>
      </c>
    </row>
    <row r="16" spans="1:19" ht="18" customHeight="1" x14ac:dyDescent="0.4">
      <c r="A16" s="4">
        <v>43825</v>
      </c>
      <c r="B16" s="5" t="s">
        <v>44</v>
      </c>
      <c r="C16" s="12" t="s">
        <v>45</v>
      </c>
      <c r="D16" s="13" t="s">
        <v>46</v>
      </c>
      <c r="E16" s="8" t="s">
        <v>45</v>
      </c>
      <c r="F16" s="9">
        <v>24</v>
      </c>
      <c r="G16" s="10" t="str" cm="1">
        <f t="array" ref="G16">IF(ROW(G16)-ROW(G$4)+1&gt;COUNT(I$1:I$40),"",INDEX(H:H,SMALL(I$1:I$40,1+ROW(G16)-ROW(G$4))))</f>
        <v/>
      </c>
      <c r="H16">
        <v>16</v>
      </c>
      <c r="I16" s="1" t="str">
        <f t="shared" si="0"/>
        <v/>
      </c>
      <c r="J16" s="1" t="str" cm="1">
        <f t="array" ref="J16">IF(ROW(G19)-ROW(G$4)+1&gt;COUNT(I$1:I$40),"",INDEX(H:H,SMALL(I$1:I$40,1+ROW(G19)-ROW(G$4))))</f>
        <v/>
      </c>
      <c r="P16" t="str">
        <f ca="1">IF(Summary!E17="","",IF(F16=Summary!E17,"Right","Wrong"))</f>
        <v>Right</v>
      </c>
    </row>
    <row r="17" spans="1:16" ht="18" customHeight="1" x14ac:dyDescent="0.4">
      <c r="A17" s="4">
        <v>43826</v>
      </c>
      <c r="B17" s="5" t="s">
        <v>47</v>
      </c>
      <c r="C17" s="12" t="s">
        <v>48</v>
      </c>
      <c r="D17" s="13" t="s">
        <v>49</v>
      </c>
      <c r="E17" s="8" t="s">
        <v>48</v>
      </c>
      <c r="F17" s="9">
        <v>27</v>
      </c>
      <c r="G17" s="10" t="str" cm="1">
        <f t="array" ref="G17">IF(ROW(G17)-ROW(G$4)+1&gt;COUNT(I$1:I$40),"",INDEX(H:H,SMALL(I$1:I$40,1+ROW(G17)-ROW(G$4))))</f>
        <v/>
      </c>
      <c r="H17">
        <v>17</v>
      </c>
      <c r="I17" s="1" t="str">
        <f t="shared" si="0"/>
        <v/>
      </c>
      <c r="J17" s="1" t="str" cm="1">
        <f t="array" ref="J17">IF(ROW(G20)-ROW(G$4)+1&gt;COUNT(I$1:I$40),"",INDEX(H:H,SMALL(I$1:I$40,1+ROW(G20)-ROW(G$4))))</f>
        <v/>
      </c>
      <c r="P17" t="str">
        <f ca="1">IF(Summary!E18="","",IF(F17=Summary!E18,"Right","Wrong"))</f>
        <v>Right</v>
      </c>
    </row>
    <row r="18" spans="1:16" ht="18" customHeight="1" x14ac:dyDescent="0.4">
      <c r="A18" s="4">
        <v>43826</v>
      </c>
      <c r="B18" s="5" t="s">
        <v>50</v>
      </c>
      <c r="C18" s="12" t="s">
        <v>51</v>
      </c>
      <c r="D18" s="13" t="s">
        <v>52</v>
      </c>
      <c r="E18" s="8" t="s">
        <v>52</v>
      </c>
      <c r="F18" s="9">
        <v>15</v>
      </c>
      <c r="G18" s="10" t="str" cm="1">
        <f t="array" ref="G18">IF(ROW(G18)-ROW(G$4)+1&gt;COUNT(I$1:I$40),"",INDEX(H:H,SMALL(I$1:I$40,1+ROW(G18)-ROW(G$4))))</f>
        <v/>
      </c>
      <c r="H18">
        <v>18</v>
      </c>
      <c r="I18" s="1" t="str">
        <f t="shared" si="0"/>
        <v/>
      </c>
      <c r="J18" s="1" t="str" cm="1">
        <f t="array" ref="J18">IF(ROW(G21)-ROW(G$4)+1&gt;COUNT(I$1:I$40),"",INDEX(H:H,SMALL(I$1:I$40,1+ROW(G21)-ROW(G$4))))</f>
        <v/>
      </c>
      <c r="P18" t="str">
        <f ca="1">IF(Summary!E19="","",IF(F18=Summary!E19,"Right","Wrong"))</f>
        <v>Right</v>
      </c>
    </row>
    <row r="19" spans="1:16" ht="18" customHeight="1" x14ac:dyDescent="0.4">
      <c r="A19" s="4">
        <v>43826</v>
      </c>
      <c r="B19" s="5" t="s">
        <v>53</v>
      </c>
      <c r="C19" s="12" t="s">
        <v>54</v>
      </c>
      <c r="D19" s="13" t="s">
        <v>55</v>
      </c>
      <c r="E19" s="8" t="s">
        <v>55</v>
      </c>
      <c r="F19" s="9">
        <v>32</v>
      </c>
      <c r="G19" s="10" t="str" cm="1">
        <f t="array" ref="G19">IF(ROW(G19)-ROW(G$4)+1&gt;COUNT(I$1:I$40),"",INDEX(H:H,SMALL(I$1:I$40,1+ROW(G19)-ROW(G$4))))</f>
        <v/>
      </c>
      <c r="H19">
        <v>19</v>
      </c>
      <c r="I19" s="1" t="str">
        <f t="shared" si="0"/>
        <v/>
      </c>
      <c r="J19" s="1" t="str" cm="1">
        <f t="array" ref="J19">IF(ROW(G22)-ROW(G$4)+1&gt;COUNT(I$1:I$40),"",INDEX(H:H,SMALL(I$1:I$40,1+ROW(G22)-ROW(G$4))))</f>
        <v/>
      </c>
      <c r="P19" t="str">
        <f ca="1">IF(Summary!E20="","",IF(F19=Summary!E20,"Right","Wrong"))</f>
        <v>Right</v>
      </c>
    </row>
    <row r="20" spans="1:16" ht="18" customHeight="1" x14ac:dyDescent="0.4">
      <c r="A20" s="4">
        <v>43826</v>
      </c>
      <c r="B20" s="5" t="s">
        <v>56</v>
      </c>
      <c r="C20" s="12" t="s">
        <v>57</v>
      </c>
      <c r="D20" s="13" t="s">
        <v>58</v>
      </c>
      <c r="E20" s="8" t="s">
        <v>58</v>
      </c>
      <c r="F20" s="9">
        <v>22</v>
      </c>
      <c r="G20" s="10" t="str" cm="1">
        <f t="array" ref="G20">IF(ROW(G20)-ROW(G$4)+1&gt;COUNT(I$1:I$40),"",INDEX(H:H,SMALL(I$1:I$40,1+ROW(G20)-ROW(G$4))))</f>
        <v/>
      </c>
      <c r="H20">
        <v>20</v>
      </c>
      <c r="I20" s="1" t="str">
        <f t="shared" si="0"/>
        <v/>
      </c>
      <c r="J20" s="1" t="str" cm="1">
        <f t="array" ref="J20">IF(ROW(G23)-ROW(G$4)+1&gt;COUNT(I$1:I$40),"",INDEX(H:H,SMALL(I$1:I$40,1+ROW(G23)-ROW(G$4))))</f>
        <v/>
      </c>
      <c r="P20" t="str">
        <f ca="1">IF(Summary!E21="","",IF(F20=Summary!E21,"Right","Wrong"))</f>
        <v>Right</v>
      </c>
    </row>
    <row r="21" spans="1:16" ht="18" customHeight="1" x14ac:dyDescent="0.4">
      <c r="A21" s="4">
        <v>43826</v>
      </c>
      <c r="B21" s="5" t="s">
        <v>59</v>
      </c>
      <c r="C21" s="12" t="s">
        <v>60</v>
      </c>
      <c r="D21" s="13" t="s">
        <v>61</v>
      </c>
      <c r="E21" s="8" t="s">
        <v>60</v>
      </c>
      <c r="F21" s="9">
        <v>19</v>
      </c>
      <c r="G21" s="10" t="str" cm="1">
        <f t="array" ref="G21">IF(ROW(G21)-ROW(G$4)+1&gt;COUNT(I$1:I$40),"",INDEX(H:H,SMALL(I$1:I$40,1+ROW(G21)-ROW(G$4))))</f>
        <v/>
      </c>
      <c r="H21">
        <v>21</v>
      </c>
      <c r="I21" s="1" t="str">
        <f t="shared" si="0"/>
        <v/>
      </c>
      <c r="J21" s="1" t="str" cm="1">
        <f t="array" ref="J21">IF(ROW(G24)-ROW(G$4)+1&gt;COUNT(I$1:I$40),"",INDEX(H:H,SMALL(I$1:I$40,1+ROW(G24)-ROW(G$4))))</f>
        <v/>
      </c>
      <c r="P21" t="str">
        <f ca="1">IF(Summary!E22="","",IF(F21=Summary!E22,"Right","Wrong"))</f>
        <v>Right</v>
      </c>
    </row>
    <row r="22" spans="1:16" ht="18" customHeight="1" x14ac:dyDescent="0.4">
      <c r="A22" s="4">
        <v>43827</v>
      </c>
      <c r="B22" s="5" t="s">
        <v>62</v>
      </c>
      <c r="C22" s="12" t="s">
        <v>63</v>
      </c>
      <c r="D22" s="13" t="s">
        <v>64</v>
      </c>
      <c r="E22" s="8" t="s">
        <v>63</v>
      </c>
      <c r="F22" s="9">
        <v>34</v>
      </c>
      <c r="G22" s="10" t="str" cm="1">
        <f t="array" ref="G22">IF(ROW(G22)-ROW(G$4)+1&gt;COUNT(I$1:I$40),"",INDEX(H:H,SMALL(I$1:I$40,1+ROW(G22)-ROW(G$4))))</f>
        <v/>
      </c>
      <c r="H22">
        <v>22</v>
      </c>
      <c r="I22" s="1" t="str">
        <f t="shared" si="0"/>
        <v/>
      </c>
      <c r="J22" s="1" t="str" cm="1">
        <f t="array" ref="J22">IF(ROW(G25)-ROW(G$4)+1&gt;COUNT(I$1:I$40),"",INDEX(H:H,SMALL(I$1:I$40,1+ROW(G25)-ROW(G$4))))</f>
        <v/>
      </c>
      <c r="P22" t="str">
        <f ca="1">IF(Summary!E23="","",IF(F22=Summary!E23,"Right","Wrong"))</f>
        <v>Right</v>
      </c>
    </row>
    <row r="23" spans="1:16" ht="18" customHeight="1" x14ac:dyDescent="0.4">
      <c r="A23" s="4">
        <v>43827</v>
      </c>
      <c r="B23" s="5" t="s">
        <v>65</v>
      </c>
      <c r="C23" s="12" t="s">
        <v>66</v>
      </c>
      <c r="D23" s="13" t="s">
        <v>67</v>
      </c>
      <c r="E23" s="8" t="s">
        <v>66</v>
      </c>
      <c r="F23" s="9">
        <v>12</v>
      </c>
      <c r="G23" s="10" t="str" cm="1">
        <f t="array" ref="G23">IF(ROW(G23)-ROW(G$4)+1&gt;COUNT(I$1:I$40),"",INDEX(H:H,SMALL(I$1:I$40,1+ROW(G23)-ROW(G$4))))</f>
        <v/>
      </c>
      <c r="H23">
        <v>23</v>
      </c>
      <c r="I23" s="1" t="str">
        <f t="shared" si="0"/>
        <v/>
      </c>
      <c r="J23" s="1" t="str" cm="1">
        <f t="array" ref="J23">IF(ROW(G26)-ROW(G$4)+1&gt;COUNT(I$1:I$40),"",INDEX(H:H,SMALL(I$1:I$40,1+ROW(G26)-ROW(G$4))))</f>
        <v/>
      </c>
      <c r="P23" t="str">
        <f ca="1">IF(Summary!E24="","",IF(F23=Summary!E24,"Right","Wrong"))</f>
        <v>Right</v>
      </c>
    </row>
    <row r="24" spans="1:16" ht="18" customHeight="1" x14ac:dyDescent="0.4">
      <c r="A24" s="4">
        <v>43827</v>
      </c>
      <c r="B24" s="5" t="s">
        <v>68</v>
      </c>
      <c r="C24" s="12" t="s">
        <v>69</v>
      </c>
      <c r="D24" s="13" t="s">
        <v>70</v>
      </c>
      <c r="E24" s="8" t="s">
        <v>69</v>
      </c>
      <c r="F24" s="9">
        <v>37</v>
      </c>
      <c r="G24" s="10" t="str" cm="1">
        <f t="array" ref="G24">IF(ROW(G24)-ROW(G$4)+1&gt;COUNT(I$1:I$40),"",INDEX(H:H,SMALL(I$1:I$40,1+ROW(G24)-ROW(G$4))))</f>
        <v/>
      </c>
      <c r="H24">
        <v>24</v>
      </c>
      <c r="I24" s="1" t="str">
        <f t="shared" si="0"/>
        <v/>
      </c>
      <c r="J24" s="1" t="str" cm="1">
        <f t="array" ref="J24">IF(ROW(G27)-ROW(G$4)+1&gt;COUNT(I$1:I$40),"",INDEX(H:H,SMALL(I$1:I$40,1+ROW(G27)-ROW(G$4))))</f>
        <v/>
      </c>
      <c r="P24" t="str">
        <f ca="1">IF(Summary!E25="","",IF(F24=Summary!E25,"Right","Wrong"))</f>
        <v>Right</v>
      </c>
    </row>
    <row r="25" spans="1:16" ht="18" customHeight="1" x14ac:dyDescent="0.4">
      <c r="A25" s="4">
        <v>43827</v>
      </c>
      <c r="B25" s="5" t="s">
        <v>71</v>
      </c>
      <c r="C25" s="12" t="s">
        <v>72</v>
      </c>
      <c r="D25" s="13" t="s">
        <v>73</v>
      </c>
      <c r="E25" s="8" t="s">
        <v>72</v>
      </c>
      <c r="F25" s="9">
        <v>9</v>
      </c>
      <c r="G25" s="10" t="str" cm="1">
        <f t="array" ref="G25">IF(ROW(G25)-ROW(G$4)+1&gt;COUNT(I$1:I$40),"",INDEX(H:H,SMALL(I$1:I$40,1+ROW(G25)-ROW(G$4))))</f>
        <v/>
      </c>
      <c r="H25">
        <v>25</v>
      </c>
      <c r="I25" s="1" t="str">
        <f t="shared" si="0"/>
        <v/>
      </c>
      <c r="J25" s="1" t="str" cm="1">
        <f t="array" ref="J25">IF(ROW(G28)-ROW(G$4)+1&gt;COUNT(I$1:I$40),"",INDEX(H:H,SMALL(I$1:I$40,1+ROW(G28)-ROW(G$4))))</f>
        <v/>
      </c>
      <c r="P25" t="str">
        <f ca="1">IF(Summary!E26="","",IF(F25=Summary!E26,"Right","Wrong"))</f>
        <v>Wrong</v>
      </c>
    </row>
    <row r="26" spans="1:16" ht="18" customHeight="1" x14ac:dyDescent="0.4">
      <c r="A26" s="4">
        <v>43829</v>
      </c>
      <c r="B26" s="5" t="s">
        <v>74</v>
      </c>
      <c r="C26" s="12" t="s">
        <v>75</v>
      </c>
      <c r="D26" s="13" t="s">
        <v>76</v>
      </c>
      <c r="E26" s="8" t="s">
        <v>76</v>
      </c>
      <c r="F26" s="9">
        <v>8</v>
      </c>
      <c r="G26" s="10" t="str" cm="1">
        <f t="array" ref="G26">IF(ROW(G26)-ROW(G$4)+1&gt;COUNT(I$1:I$40),"",INDEX(H:H,SMALL(I$1:I$40,1+ROW(G26)-ROW(G$4))))</f>
        <v/>
      </c>
      <c r="H26">
        <v>26</v>
      </c>
      <c r="I26" s="1" t="str">
        <f t="shared" si="0"/>
        <v/>
      </c>
      <c r="J26" s="1" t="str" cm="1">
        <f t="array" ref="J26">IF(ROW(G29)-ROW(G$4)+1&gt;COUNT(I$1:I$40),"",INDEX(H:H,SMALL(I$1:I$40,1+ROW(G29)-ROW(G$4))))</f>
        <v/>
      </c>
      <c r="P26" t="str">
        <f ca="1">IF(Summary!E27="","",IF(F26=Summary!E27,"Right","Wrong"))</f>
        <v>Wrong</v>
      </c>
    </row>
    <row r="27" spans="1:16" ht="18" customHeight="1" x14ac:dyDescent="0.4">
      <c r="A27" s="4">
        <v>43829</v>
      </c>
      <c r="B27" s="5" t="s">
        <v>77</v>
      </c>
      <c r="C27" s="12" t="s">
        <v>78</v>
      </c>
      <c r="D27" s="13" t="s">
        <v>148</v>
      </c>
      <c r="E27" s="8" t="s">
        <v>148</v>
      </c>
      <c r="F27" s="9">
        <v>20</v>
      </c>
      <c r="G27" s="10" t="str" cm="1">
        <f t="array" ref="G27">IF(ROW(G27)-ROW(G$4)+1&gt;COUNT(I$1:I$40),"",INDEX(H:H,SMALL(I$1:I$40,1+ROW(G27)-ROW(G$4))))</f>
        <v/>
      </c>
      <c r="H27">
        <v>27</v>
      </c>
      <c r="I27" s="1" t="str">
        <f t="shared" si="0"/>
        <v/>
      </c>
      <c r="J27" s="1" t="str" cm="1">
        <f t="array" ref="J27">IF(ROW(G30)-ROW(G$4)+1&gt;COUNT(I$1:I$40),"",INDEX(H:H,SMALL(I$1:I$40,1+ROW(G30)-ROW(G$4))))</f>
        <v/>
      </c>
      <c r="P27" t="str">
        <f ca="1">IF(Summary!E28="","",IF(F27=Summary!E28,"Right","Wrong"))</f>
        <v>Right</v>
      </c>
    </row>
    <row r="28" spans="1:16" ht="18" customHeight="1" x14ac:dyDescent="0.4">
      <c r="A28" s="4">
        <v>43829</v>
      </c>
      <c r="B28" s="5" t="s">
        <v>80</v>
      </c>
      <c r="C28" s="12" t="s">
        <v>81</v>
      </c>
      <c r="D28" s="13" t="s">
        <v>82</v>
      </c>
      <c r="E28" s="8" t="s">
        <v>81</v>
      </c>
      <c r="F28" s="9">
        <v>6</v>
      </c>
      <c r="G28" s="10" t="str" cm="1">
        <f t="array" ref="G28">IF(ROW(G28)-ROW(G$4)+1&gt;COUNT(I$1:I$40),"",INDEX(H:H,SMALL(I$1:I$40,1+ROW(G28)-ROW(G$4))))</f>
        <v/>
      </c>
      <c r="H28">
        <v>28</v>
      </c>
      <c r="I28" s="1" t="str">
        <f t="shared" si="0"/>
        <v/>
      </c>
      <c r="J28" s="1" t="str" cm="1">
        <f t="array" ref="J28">IF(ROW(G31)-ROW(G$4)+1&gt;COUNT(I$1:I$40),"",INDEX(H:H,SMALL(I$1:I$40,1+ROW(G31)-ROW(G$4))))</f>
        <v/>
      </c>
      <c r="P28" t="str">
        <f ca="1">IF(Summary!E29="","",IF(F28=Summary!E29,"Right","Wrong"))</f>
        <v>Wrong</v>
      </c>
    </row>
    <row r="29" spans="1:16" ht="18" customHeight="1" x14ac:dyDescent="0.4">
      <c r="A29" s="4">
        <v>43829</v>
      </c>
      <c r="B29" s="5" t="s">
        <v>83</v>
      </c>
      <c r="C29" s="12" t="s">
        <v>84</v>
      </c>
      <c r="D29" s="13" t="s">
        <v>85</v>
      </c>
      <c r="E29" s="8" t="s">
        <v>84</v>
      </c>
      <c r="F29" s="9">
        <v>38</v>
      </c>
      <c r="G29" s="10" t="str" cm="1">
        <f t="array" ref="G29">IF(ROW(G29)-ROW(G$4)+1&gt;COUNT(I$1:I$40),"",INDEX(H:H,SMALL(I$1:I$40,1+ROW(G29)-ROW(G$4))))</f>
        <v/>
      </c>
      <c r="H29">
        <v>29</v>
      </c>
      <c r="I29" s="1" t="str">
        <f t="shared" si="0"/>
        <v/>
      </c>
      <c r="J29" s="1" t="str" cm="1">
        <f t="array" ref="J29">IF(ROW(G32)-ROW(G$4)+1&gt;COUNT(I$1:I$40),"",INDEX(H:H,SMALL(I$1:I$40,1+ROW(G32)-ROW(G$4))))</f>
        <v/>
      </c>
      <c r="P29" t="str">
        <f ca="1">IF(Summary!E30="","",IF(F29=Summary!E30,"Right","Wrong"))</f>
        <v>Right</v>
      </c>
    </row>
    <row r="30" spans="1:16" ht="18" customHeight="1" x14ac:dyDescent="0.4">
      <c r="A30" s="4">
        <v>43830</v>
      </c>
      <c r="B30" s="5" t="s">
        <v>86</v>
      </c>
      <c r="C30" s="12" t="s">
        <v>87</v>
      </c>
      <c r="D30" s="13" t="s">
        <v>88</v>
      </c>
      <c r="E30" s="8" t="s">
        <v>88</v>
      </c>
      <c r="F30" s="9">
        <v>23</v>
      </c>
      <c r="G30" s="10" t="str" cm="1">
        <f t="array" ref="G30">IF(ROW(G30)-ROW(G$4)+1&gt;COUNT(I$1:I$40),"",INDEX(H:H,SMALL(I$1:I$40,1+ROW(G30)-ROW(G$4))))</f>
        <v/>
      </c>
      <c r="H30">
        <v>30</v>
      </c>
      <c r="I30" s="1" t="str">
        <f t="shared" si="0"/>
        <v/>
      </c>
      <c r="J30" s="1" t="str" cm="1">
        <f t="array" ref="J30">IF(ROW(G33)-ROW(G$4)+1&gt;COUNT(I$1:I$40),"",INDEX(H:H,SMALL(I$1:I$40,1+ROW(G33)-ROW(G$4))))</f>
        <v/>
      </c>
      <c r="P30" t="str">
        <f ca="1">IF(Summary!E31="","",IF(F30=Summary!E31,"Right","Wrong"))</f>
        <v>Wrong</v>
      </c>
    </row>
    <row r="31" spans="1:16" ht="18" customHeight="1" x14ac:dyDescent="0.4">
      <c r="A31" s="4">
        <v>43830</v>
      </c>
      <c r="B31" s="5" t="s">
        <v>89</v>
      </c>
      <c r="C31" s="12" t="s">
        <v>90</v>
      </c>
      <c r="D31" s="13" t="s">
        <v>91</v>
      </c>
      <c r="E31" s="8" t="s">
        <v>91</v>
      </c>
      <c r="F31" s="9">
        <v>18</v>
      </c>
      <c r="G31" s="10" t="str" cm="1">
        <f t="array" ref="G31">IF(ROW(G31)-ROW(G$4)+1&gt;COUNT(I$1:I$40),"",INDEX(H:H,SMALL(I$1:I$40,1+ROW(G31)-ROW(G$4))))</f>
        <v/>
      </c>
      <c r="H31">
        <v>31</v>
      </c>
      <c r="I31" s="1" t="str">
        <f t="shared" si="0"/>
        <v/>
      </c>
      <c r="J31" s="1" t="str" cm="1">
        <f t="array" ref="J31">IF(ROW(G34)-ROW(G$4)+1&gt;COUNT(I$1:I$40),"",INDEX(H:H,SMALL(I$1:I$40,1+ROW(G34)-ROW(G$4))))</f>
        <v/>
      </c>
      <c r="P31" t="str">
        <f ca="1">IF(Summary!E32="","",IF(F31=Summary!E32,"Right","Wrong"))</f>
        <v>Right</v>
      </c>
    </row>
    <row r="32" spans="1:16" ht="18" customHeight="1" x14ac:dyDescent="0.4">
      <c r="A32" s="4">
        <v>43830</v>
      </c>
      <c r="B32" s="5" t="s">
        <v>92</v>
      </c>
      <c r="C32" s="12" t="s">
        <v>93</v>
      </c>
      <c r="D32" s="13" t="s">
        <v>94</v>
      </c>
      <c r="E32" s="8" t="s">
        <v>94</v>
      </c>
      <c r="F32" s="9">
        <v>29</v>
      </c>
      <c r="G32" s="10" t="str" cm="1">
        <f t="array" ref="G32">IF(ROW(G32)-ROW(G$4)+1&gt;COUNT(I$1:I$40),"",INDEX(H:H,SMALL(I$1:I$40,1+ROW(G32)-ROW(G$4))))</f>
        <v/>
      </c>
      <c r="H32">
        <v>32</v>
      </c>
      <c r="I32" s="1" t="str">
        <f t="shared" si="0"/>
        <v/>
      </c>
      <c r="J32" s="1" t="str" cm="1">
        <f t="array" ref="J32">IF(ROW(G35)-ROW(G$4)+1&gt;COUNT(I$1:I$40),"",INDEX(H:H,SMALL(I$1:I$40,1+ROW(G35)-ROW(G$4))))</f>
        <v/>
      </c>
      <c r="P32" t="str">
        <f ca="1">IF(Summary!E33="","",IF(F32=Summary!E33,"Right","Wrong"))</f>
        <v>Wrong</v>
      </c>
    </row>
    <row r="33" spans="1:16" ht="18" customHeight="1" x14ac:dyDescent="0.4">
      <c r="A33" s="4">
        <v>43830</v>
      </c>
      <c r="B33" s="5" t="s">
        <v>95</v>
      </c>
      <c r="C33" s="12" t="s">
        <v>96</v>
      </c>
      <c r="D33" s="13" t="s">
        <v>97</v>
      </c>
      <c r="E33" s="8" t="s">
        <v>97</v>
      </c>
      <c r="F33" s="9">
        <v>30</v>
      </c>
      <c r="G33" s="10" t="str" cm="1">
        <f t="array" ref="G33">IF(ROW(G33)-ROW(G$4)+1&gt;COUNT(I$1:I$40),"",INDEX(H:H,SMALL(I$1:I$40,1+ROW(G33)-ROW(G$4))))</f>
        <v/>
      </c>
      <c r="H33">
        <v>33</v>
      </c>
      <c r="I33" s="1" t="str">
        <f t="shared" si="0"/>
        <v/>
      </c>
      <c r="J33" s="1" t="str" cm="1">
        <f t="array" ref="J33">IF(ROW(G36)-ROW(G$4)+1&gt;COUNT(I$1:I$40),"",INDEX(H:H,SMALL(I$1:I$40,1+ROW(G36)-ROW(G$4))))</f>
        <v/>
      </c>
      <c r="P33" t="str">
        <f ca="1">IF(Summary!E34="","",IF(F33=Summary!E34,"Right","Wrong"))</f>
        <v>Right</v>
      </c>
    </row>
    <row r="34" spans="1:16" ht="18" customHeight="1" x14ac:dyDescent="0.4">
      <c r="A34" s="4">
        <v>43830</v>
      </c>
      <c r="B34" s="5" t="s">
        <v>98</v>
      </c>
      <c r="C34" s="12" t="s">
        <v>99</v>
      </c>
      <c r="D34" s="13" t="s">
        <v>100</v>
      </c>
      <c r="E34" s="8" t="s">
        <v>100</v>
      </c>
      <c r="F34" s="9">
        <v>14</v>
      </c>
      <c r="G34" s="10" t="str" cm="1">
        <f t="array" ref="G34">IF(ROW(G34)-ROW(G$4)+1&gt;COUNT(I$1:I$40),"",INDEX(H:H,SMALL(I$1:I$40,1+ROW(G34)-ROW(G$4))))</f>
        <v/>
      </c>
      <c r="H34">
        <v>34</v>
      </c>
      <c r="I34" s="1" t="str">
        <f t="shared" si="0"/>
        <v/>
      </c>
      <c r="J34" s="1" t="str" cm="1">
        <f t="array" ref="J34">IF(ROW(G37)-ROW(G$4)+1&gt;COUNT(I$1:I$40),"",INDEX(H:H,SMALL(I$1:I$40,1+ROW(G37)-ROW(G$4))))</f>
        <v/>
      </c>
      <c r="P34" t="str">
        <f ca="1">IF(Summary!E35="","",IF(F34=Summary!E35,"Right","Wrong"))</f>
        <v>Right</v>
      </c>
    </row>
    <row r="35" spans="1:16" ht="18" customHeight="1" x14ac:dyDescent="0.4">
      <c r="A35" s="4">
        <v>43466</v>
      </c>
      <c r="B35" s="5" t="s">
        <v>101</v>
      </c>
      <c r="C35" s="12" t="s">
        <v>102</v>
      </c>
      <c r="D35" s="13" t="s">
        <v>103</v>
      </c>
      <c r="E35" s="8" t="s">
        <v>102</v>
      </c>
      <c r="F35" s="9">
        <v>33</v>
      </c>
      <c r="G35" s="10" t="str" cm="1">
        <f t="array" ref="G35">IF(ROW(G35)-ROW(G$4)+1&gt;COUNT(I$1:I$40),"",INDEX(H:H,SMALL(I$1:I$40,1+ROW(G35)-ROW(G$4))))</f>
        <v/>
      </c>
      <c r="H35">
        <v>35</v>
      </c>
      <c r="I35" s="1" t="str">
        <f t="shared" si="0"/>
        <v/>
      </c>
      <c r="J35" s="1" t="str" cm="1">
        <f t="array" ref="J35">IF(ROW(G38)-ROW(G$4)+1&gt;COUNT(I$1:I$40),"",INDEX(H:H,SMALL(I$1:I$40,1+ROW(G38)-ROW(G$4))))</f>
        <v/>
      </c>
      <c r="P35" t="str">
        <f ca="1">IF(Summary!E36="","",IF(F35=Summary!E36,"Right","Wrong"))</f>
        <v>Right</v>
      </c>
    </row>
    <row r="36" spans="1:16" ht="18" customHeight="1" x14ac:dyDescent="0.4">
      <c r="A36" s="4">
        <v>43466</v>
      </c>
      <c r="B36" s="5" t="s">
        <v>104</v>
      </c>
      <c r="C36" s="12" t="s">
        <v>105</v>
      </c>
      <c r="D36" s="13" t="s">
        <v>106</v>
      </c>
      <c r="E36" s="8" t="s">
        <v>106</v>
      </c>
      <c r="F36" s="9">
        <v>5</v>
      </c>
      <c r="G36" s="10" t="str" cm="1">
        <f t="array" ref="G36">IF(ROW(G36)-ROW(G$4)+1&gt;COUNT(I$1:I$40),"",INDEX(H:H,SMALL(I$1:I$40,1+ROW(G36)-ROW(G$4))))</f>
        <v/>
      </c>
      <c r="H36">
        <v>36</v>
      </c>
      <c r="I36" s="1" t="str">
        <f t="shared" si="0"/>
        <v/>
      </c>
      <c r="J36" s="1" t="str" cm="1">
        <f t="array" ref="J36">IF(ROW(G39)-ROW(G$4)+1&gt;COUNT(I$1:I$40),"",INDEX(H:H,SMALL(I$1:I$40,1+ROW(G39)-ROW(G$4))))</f>
        <v/>
      </c>
      <c r="P36" t="str">
        <f ca="1">IF(Summary!E37="","",IF(F36=Summary!E37,"Right","Wrong"))</f>
        <v>Right</v>
      </c>
    </row>
    <row r="37" spans="1:16" ht="18" customHeight="1" x14ac:dyDescent="0.4">
      <c r="A37" s="4">
        <v>43466</v>
      </c>
      <c r="B37" s="5" t="s">
        <v>107</v>
      </c>
      <c r="C37" s="12" t="s">
        <v>108</v>
      </c>
      <c r="D37" s="13" t="s">
        <v>109</v>
      </c>
      <c r="E37" s="8" t="s">
        <v>108</v>
      </c>
      <c r="F37" s="9">
        <v>16</v>
      </c>
      <c r="G37" s="10" t="str" cm="1">
        <f t="array" ref="G37">IF(ROW(G37)-ROW(G$4)+1&gt;COUNT(I$1:I$40),"",INDEX(H:H,SMALL(I$1:I$40,1+ROW(G37)-ROW(G$4))))</f>
        <v/>
      </c>
      <c r="H37">
        <v>37</v>
      </c>
      <c r="I37" s="1" t="str">
        <f t="shared" si="0"/>
        <v/>
      </c>
      <c r="J37" s="1" t="str" cm="1">
        <f t="array" ref="J37">IF(ROW(G40)-ROW(G$4)+1&gt;COUNT(I$1:I$40),"",INDEX(H:H,SMALL(I$1:I$40,1+ROW(G40)-ROW(G$4))))</f>
        <v/>
      </c>
      <c r="P37" t="str">
        <f ca="1">IF(Summary!E38="","",IF(F37=Summary!E38,"Right","Wrong"))</f>
        <v>Right</v>
      </c>
    </row>
    <row r="38" spans="1:16" ht="18" customHeight="1" x14ac:dyDescent="0.4">
      <c r="A38" s="4">
        <v>43466</v>
      </c>
      <c r="B38" s="5" t="s">
        <v>110</v>
      </c>
      <c r="C38" s="12" t="s">
        <v>111</v>
      </c>
      <c r="D38" s="13" t="s">
        <v>112</v>
      </c>
      <c r="E38" s="8" t="s">
        <v>112</v>
      </c>
      <c r="F38" s="9">
        <v>10</v>
      </c>
      <c r="G38" s="10" t="str" cm="1">
        <f t="array" ref="G38">IF(ROW(G38)-ROW(G$4)+1&gt;COUNT(I$1:I$40),"",INDEX(H:H,SMALL(I$1:I$40,1+ROW(G38)-ROW(G$4))))</f>
        <v/>
      </c>
      <c r="H38">
        <v>38</v>
      </c>
      <c r="I38" s="1" t="str">
        <f t="shared" si="0"/>
        <v/>
      </c>
      <c r="J38" s="1" t="str" cm="1">
        <f t="array" ref="J38">IF(ROW(G41)-ROW(G$4)+1&gt;COUNT(I$1:I$40),"",INDEX(H:H,SMALL(I$1:I$40,1+ROW(G41)-ROW(G$4))))</f>
        <v/>
      </c>
      <c r="P38" t="str">
        <f ca="1">IF(Summary!E39="","",IF(F38=Summary!E39,"Right","Wrong"))</f>
        <v>Wrong</v>
      </c>
    </row>
    <row r="39" spans="1:16" ht="18" customHeight="1" x14ac:dyDescent="0.4">
      <c r="A39" s="4">
        <v>43467</v>
      </c>
      <c r="B39" s="5" t="s">
        <v>113</v>
      </c>
      <c r="C39" s="12" t="s">
        <v>114</v>
      </c>
      <c r="D39" s="13" t="s">
        <v>115</v>
      </c>
      <c r="E39" s="8" t="s">
        <v>115</v>
      </c>
      <c r="F39" s="9">
        <v>40</v>
      </c>
      <c r="G39" s="10" t="str" cm="1">
        <f t="array" ref="G39">IF(ROW(G39)-ROW(G$4)+1&gt;COUNT(I$1:I$40),"",INDEX(H:H,SMALL(I$1:I$40,1+ROW(G39)-ROW(G$4))))</f>
        <v/>
      </c>
      <c r="H39">
        <v>39</v>
      </c>
      <c r="I39" s="1" t="str">
        <f t="shared" si="0"/>
        <v/>
      </c>
      <c r="J39" s="1" t="str" cm="1">
        <f t="array" ref="J39">IF(ROW(G42)-ROW(G$4)+1&gt;COUNT(I$1:I$40),"",INDEX(H:H,SMALL(I$1:I$40,1+ROW(G42)-ROW(G$4))))</f>
        <v/>
      </c>
      <c r="P39" t="str">
        <f ca="1">IF(Summary!E40="","",IF(F39=Summary!E40,"Right","Wrong"))</f>
        <v>Right</v>
      </c>
    </row>
    <row r="40" spans="1:16" ht="18" customHeight="1" x14ac:dyDescent="0.4">
      <c r="A40" s="4">
        <v>43467</v>
      </c>
      <c r="B40" s="5" t="s">
        <v>116</v>
      </c>
      <c r="C40" s="12" t="s">
        <v>117</v>
      </c>
      <c r="D40" s="13" t="s">
        <v>118</v>
      </c>
      <c r="E40" s="8" t="s">
        <v>117</v>
      </c>
      <c r="F40" s="9">
        <v>11</v>
      </c>
      <c r="G40" s="10" t="str" cm="1">
        <f t="array" ref="G40">IF(ROW(G40)-ROW(G$4)+1&gt;COUNT(I$1:I$40),"",INDEX(H:H,SMALL(I$1:I$40,1+ROW(G40)-ROW(G$4))))</f>
        <v/>
      </c>
      <c r="H40">
        <v>40</v>
      </c>
      <c r="I40" s="1" t="str">
        <f t="shared" si="0"/>
        <v/>
      </c>
      <c r="J40" s="1" t="str" cm="1">
        <f t="array" ref="J40">IF(ROW(G43)-ROW(G$4)+1&gt;COUNT(I$1:I$40),"",INDEX(H:H,SMALL(I$1:I$40,1+ROW(G43)-ROW(G$4))))</f>
        <v/>
      </c>
      <c r="P40" t="str">
        <f ca="1">IF(Summary!E41="","",IF(F40=Summary!E41,"Right","Wrong"))</f>
        <v>Right</v>
      </c>
    </row>
    <row r="41" spans="1:16" ht="18" customHeight="1" x14ac:dyDescent="0.4">
      <c r="A41" s="4">
        <v>43468</v>
      </c>
      <c r="B41" s="5" t="s">
        <v>119</v>
      </c>
      <c r="C41" s="12" t="s">
        <v>120</v>
      </c>
      <c r="D41" s="13" t="s">
        <v>121</v>
      </c>
      <c r="E41" s="8" t="s">
        <v>120</v>
      </c>
      <c r="F41" s="9">
        <v>17</v>
      </c>
      <c r="G41" s="10" t="str" cm="1">
        <f t="array" ref="G41">IF(ROW(G41)-ROW(G$4)+1&gt;COUNT(I$1:I$40),"",INDEX(H:H,SMALL(I$1:I$40,1+ROW(G41)-ROW(G$4))))</f>
        <v/>
      </c>
      <c r="I41" s="1"/>
      <c r="J41" s="1" t="str" cm="1">
        <f t="array" ref="J41">IF(ROW(G44)-ROW(G$4)+1&gt;COUNT(I$1:I$40),"",INDEX(H:H,SMALL(I$1:I$40,1+ROW(G44)-ROW(G$4))))</f>
        <v/>
      </c>
      <c r="P41" t="str">
        <f ca="1">IF(Summary!E42="","",IF(F41=Summary!E42,"Right","Wrong"))</f>
        <v>Right</v>
      </c>
    </row>
    <row r="42" spans="1:16" ht="18" customHeight="1" x14ac:dyDescent="0.4">
      <c r="A42" s="4">
        <v>43469</v>
      </c>
      <c r="B42" s="5" t="s">
        <v>122</v>
      </c>
      <c r="C42" s="12" t="s">
        <v>123</v>
      </c>
      <c r="D42" s="13" t="s">
        <v>124</v>
      </c>
      <c r="E42" s="8" t="s">
        <v>123</v>
      </c>
      <c r="F42" s="9">
        <v>13</v>
      </c>
      <c r="G42" s="10" t="str" cm="1">
        <f t="array" ref="G42">IF(ROW(G42)-ROW(G$4)+1&gt;COUNT(I$1:I$40),"",INDEX(H:H,SMALL(I$1:I$40,1+ROW(G42)-ROW(G$4))))</f>
        <v/>
      </c>
      <c r="H42" s="14"/>
      <c r="P42" t="str">
        <f ca="1">IF(Summary!E43="","",IF(F42=Summary!E43,"Right","Wrong"))</f>
        <v>Right</v>
      </c>
    </row>
    <row r="43" spans="1:16" ht="18" customHeight="1" thickBot="1" x14ac:dyDescent="0.45">
      <c r="A43" s="15">
        <v>43471</v>
      </c>
      <c r="B43" s="16" t="s">
        <v>125</v>
      </c>
      <c r="C43" s="17" t="s">
        <v>126</v>
      </c>
      <c r="D43" s="18" t="s">
        <v>127</v>
      </c>
      <c r="E43" s="19" t="s">
        <v>126</v>
      </c>
      <c r="F43" s="20">
        <v>26</v>
      </c>
      <c r="G43" s="21" t="str" cm="1">
        <f t="array" ref="G43">IF(ROW(G43)-ROW(G$4)+1&gt;COUNT(I$1:I$40),"",INDEX(H:H,SMALL(I$1:I$40,1+ROW(G43)-ROW(G$4))))</f>
        <v/>
      </c>
      <c r="H43" s="14"/>
      <c r="P43" t="str">
        <f ca="1">IF(Summary!E44="","",IF(F43=Summary!E44,"Right","Wrong"))</f>
        <v>Right</v>
      </c>
    </row>
    <row r="44" spans="1:16" ht="18" customHeight="1" x14ac:dyDescent="0.4">
      <c r="A44" s="22"/>
      <c r="B44" s="104" t="s">
        <v>128</v>
      </c>
      <c r="C44" s="104"/>
      <c r="D44" s="104"/>
      <c r="E44" s="23" t="s">
        <v>149</v>
      </c>
      <c r="F44" s="24">
        <v>67</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61" priority="6">
      <formula>LEN(TRIM(B1))=0</formula>
    </cfRule>
  </conditionalFormatting>
  <conditionalFormatting sqref="F4:F44">
    <cfRule type="duplicateValues" dxfId="60" priority="5"/>
  </conditionalFormatting>
  <conditionalFormatting sqref="P4:P43">
    <cfRule type="cellIs" dxfId="59" priority="1" operator="equal">
      <formula>"Wrong"</formula>
    </cfRule>
    <cfRule type="cellIs" dxfId="58" priority="2" operator="equal">
      <formula>"Right"</formula>
    </cfRule>
  </conditionalFormatting>
  <dataValidations count="3">
    <dataValidation type="list" allowBlank="1" showInputMessage="1" sqref="F4:F43" xr:uid="{670AABA9-63B3-461C-9E86-5AFB3EA92F14}">
      <formula1>Confidence_Count</formula1>
    </dataValidation>
    <dataValidation type="list" errorStyle="warning" allowBlank="1" showInputMessage="1" sqref="E4:E43" xr:uid="{6F5CDC0F-03BE-477E-A5E0-939DEF766D2E}">
      <formula1>$C4:$D4</formula1>
    </dataValidation>
    <dataValidation type="list" allowBlank="1" showInputMessage="1" showErrorMessage="1" sqref="E44" xr:uid="{43B432B3-B01C-42FB-B772-1CBBC61ABB47}">
      <formula1>"LSU,Ohio State,Clemson,Oklahoma"</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F1FF9-B4A7-4470-BCB2-B49A86676FD7}">
  <sheetPr codeName="Sheet8"/>
  <dimension ref="A1:S44"/>
  <sheetViews>
    <sheetView showGridLines="0" topLeftCell="A26" workbookViewId="0">
      <selection sqref="A1:A2"/>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ht="14.5" customHeight="1" x14ac:dyDescent="0.35">
      <c r="A1" s="105" t="s">
        <v>0</v>
      </c>
      <c r="B1" s="105" t="s">
        <v>131</v>
      </c>
      <c r="F1" s="107" t="s">
        <v>1</v>
      </c>
      <c r="G1" s="105" t="s">
        <v>156</v>
      </c>
      <c r="H1">
        <v>1</v>
      </c>
      <c r="I1" s="1" t="str">
        <f t="shared" ref="I1:I40" si="0">IF(COUNTIF($F$4:$F$43,H1)&gt;=1,"",ROW())</f>
        <v/>
      </c>
      <c r="J1" s="1" t="str" cm="1">
        <f t="array" ref="J1">IF(ROW(G4)-ROW(G$4)+1&gt;COUNT(I$1:I$40),"",INDEX(H:H,SMALL(I$1:I$40,1+ROW(G4)-ROW(G$4))))</f>
        <v/>
      </c>
    </row>
    <row r="2" spans="1:19" ht="15" customHeight="1"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cm="1">
        <f t="array" ref="J3">IF(ROW(G6)-ROW(G$4)+1&gt;COUNT(I$1:I$40),"",INDEX(H:H,SMALL(I$1:I$40,1+ROW(G6)-ROW(G$4))))</f>
        <v/>
      </c>
      <c r="P3" t="str">
        <f ca="1">_xlfn.CONCAT(COUNTIF(P4:P43,"Right")&amp;"/"&amp;(COUNTIF(P4:P43,"Right")+COUNTIF(P4:P43,"Wrong")))</f>
        <v>29/40</v>
      </c>
    </row>
    <row r="4" spans="1:19" ht="18" customHeight="1" thickTop="1" x14ac:dyDescent="0.4">
      <c r="A4" s="4">
        <v>43819</v>
      </c>
      <c r="B4" s="5" t="s">
        <v>8</v>
      </c>
      <c r="C4" s="6" t="s">
        <v>9</v>
      </c>
      <c r="D4" s="7" t="s">
        <v>10</v>
      </c>
      <c r="E4" s="8" t="s">
        <v>9</v>
      </c>
      <c r="F4" s="9">
        <v>25</v>
      </c>
      <c r="G4" s="10" t="str" cm="1">
        <f t="array" ref="G4">IF(ROW(G4)-ROW(G$4)+1&gt;COUNT(I$1:I$40),"",INDEX(H:H,SMALL(I$1:I$40,1+ROW(G4)-ROW(G$4))))</f>
        <v/>
      </c>
      <c r="H4">
        <v>4</v>
      </c>
      <c r="I4" s="1" t="str">
        <f t="shared" si="0"/>
        <v/>
      </c>
      <c r="J4" s="1" t="str" cm="1">
        <f t="array" ref="J4">IF(ROW(G7)-ROW(G$4)+1&gt;COUNT(I$1:I$40),"",INDEX(H:H,SMALL(I$1:I$40,1+ROW(G7)-ROW(G$4))))</f>
        <v/>
      </c>
      <c r="N4" s="11"/>
      <c r="P4" t="str">
        <f ca="1">IF(Summary!F5="","",IF(F4=Summary!F5,"Right","Wrong"))</f>
        <v>Right</v>
      </c>
    </row>
    <row r="5" spans="1:19" ht="18" customHeight="1" x14ac:dyDescent="0.4">
      <c r="A5" s="4">
        <v>43819</v>
      </c>
      <c r="B5" s="5" t="s">
        <v>11</v>
      </c>
      <c r="C5" s="12" t="s">
        <v>12</v>
      </c>
      <c r="D5" s="13" t="s">
        <v>13</v>
      </c>
      <c r="E5" s="8" t="s">
        <v>12</v>
      </c>
      <c r="F5" s="9">
        <v>24</v>
      </c>
      <c r="G5" s="10" t="str" cm="1">
        <f t="array" ref="G5">IF(ROW(G5)-ROW(G$4)+1&gt;COUNT(I$1:I$40),"",INDEX(H:H,SMALL(I$1:I$40,1+ROW(G5)-ROW(G$4))))</f>
        <v/>
      </c>
      <c r="H5">
        <v>5</v>
      </c>
      <c r="I5" s="1" t="str">
        <f t="shared" si="0"/>
        <v/>
      </c>
      <c r="J5" s="1" t="str" cm="1">
        <f t="array" ref="J5">IF(ROW(G8)-ROW(G$4)+1&gt;COUNT(I$1:I$40),"",INDEX(H:H,SMALL(I$1:I$40,1+ROW(G8)-ROW(G$4))))</f>
        <v/>
      </c>
      <c r="P5" t="str">
        <f ca="1">IF(Summary!F6="","",IF(F5=Summary!F6,"Right","Wrong"))</f>
        <v>Wrong</v>
      </c>
    </row>
    <row r="6" spans="1:19" ht="18" customHeight="1" x14ac:dyDescent="0.4">
      <c r="A6" s="4">
        <v>43820</v>
      </c>
      <c r="B6" s="5" t="s">
        <v>14</v>
      </c>
      <c r="C6" s="12" t="s">
        <v>15</v>
      </c>
      <c r="D6" s="13" t="s">
        <v>16</v>
      </c>
      <c r="E6" s="8" t="s">
        <v>16</v>
      </c>
      <c r="F6" s="9">
        <v>3</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IF(Summary!F7="","",IF(F6=Summary!F7,"Right","Wrong"))</f>
        <v>Right</v>
      </c>
    </row>
    <row r="7" spans="1:19" ht="18" customHeight="1" x14ac:dyDescent="0.4">
      <c r="A7" s="4">
        <v>43820</v>
      </c>
      <c r="B7" s="5" t="s">
        <v>17</v>
      </c>
      <c r="C7" s="12" t="s">
        <v>18</v>
      </c>
      <c r="D7" s="13" t="s">
        <v>19</v>
      </c>
      <c r="E7" s="8" t="s">
        <v>18</v>
      </c>
      <c r="F7" s="9">
        <v>20</v>
      </c>
      <c r="G7" s="10" t="str" cm="1">
        <f t="array" ref="G7">IF(ROW(G7)-ROW(G$4)+1&gt;COUNT(I$1:I$40),"",INDEX(H:H,SMALL(I$1:I$40,1+ROW(G7)-ROW(G$4))))</f>
        <v/>
      </c>
      <c r="H7">
        <v>7</v>
      </c>
      <c r="I7" s="1" t="str">
        <f t="shared" si="0"/>
        <v/>
      </c>
      <c r="J7" s="1" t="str" cm="1">
        <f t="array" ref="J7">IF(ROW(G10)-ROW(G$4)+1&gt;COUNT(I$1:I$40),"",INDEX(H:H,SMALL(I$1:I$40,1+ROW(G10)-ROW(G$4))))</f>
        <v/>
      </c>
      <c r="P7" t="str">
        <f ca="1">IF(Summary!F8="","",IF(F7=Summary!F8,"Right","Wrong"))</f>
        <v>Right</v>
      </c>
      <c r="R7" s="103"/>
      <c r="S7" s="103"/>
    </row>
    <row r="8" spans="1:19" ht="18" customHeight="1" x14ac:dyDescent="0.4">
      <c r="A8" s="4">
        <v>43820</v>
      </c>
      <c r="B8" s="5" t="s">
        <v>20</v>
      </c>
      <c r="C8" s="12" t="s">
        <v>21</v>
      </c>
      <c r="D8" s="13" t="s">
        <v>22</v>
      </c>
      <c r="E8" s="8" t="s">
        <v>21</v>
      </c>
      <c r="F8" s="9">
        <v>21</v>
      </c>
      <c r="G8" s="10" t="str" cm="1">
        <f t="array" ref="G8">IF(ROW(G8)-ROW(G$4)+1&gt;COUNT(I$1:I$40),"",INDEX(H:H,SMALL(I$1:I$40,1+ROW(G8)-ROW(G$4))))</f>
        <v/>
      </c>
      <c r="H8">
        <v>8</v>
      </c>
      <c r="I8" s="1" t="str">
        <f t="shared" si="0"/>
        <v/>
      </c>
      <c r="J8" s="1" t="str" cm="1">
        <f t="array" ref="J8">IF(ROW(G11)-ROW(G$4)+1&gt;COUNT(I$1:I$40),"",INDEX(H:H,SMALL(I$1:I$40,1+ROW(G11)-ROW(G$4))))</f>
        <v/>
      </c>
      <c r="P8" t="str">
        <f ca="1">IF(Summary!F9="","",IF(F8=Summary!F9,"Right","Wrong"))</f>
        <v>Wrong</v>
      </c>
      <c r="R8" s="103"/>
      <c r="S8" s="103"/>
    </row>
    <row r="9" spans="1:19" ht="18" customHeight="1" x14ac:dyDescent="0.4">
      <c r="A9" s="4">
        <v>43820</v>
      </c>
      <c r="B9" s="5" t="s">
        <v>23</v>
      </c>
      <c r="C9" s="12" t="s">
        <v>24</v>
      </c>
      <c r="D9" s="13" t="s">
        <v>25</v>
      </c>
      <c r="E9" s="8" t="s">
        <v>25</v>
      </c>
      <c r="F9" s="9">
        <v>13</v>
      </c>
      <c r="G9" s="10" t="str" cm="1">
        <f t="array" ref="G9">IF(ROW(G9)-ROW(G$4)+1&gt;COUNT(I$1:I$40),"",INDEX(H:H,SMALL(I$1:I$40,1+ROW(G9)-ROW(G$4))))</f>
        <v/>
      </c>
      <c r="H9">
        <v>9</v>
      </c>
      <c r="I9" s="1" t="str">
        <f t="shared" si="0"/>
        <v/>
      </c>
      <c r="J9" s="1" t="str" cm="1">
        <f t="array" ref="J9">IF(ROW(G12)-ROW(G$4)+1&gt;COUNT(I$1:I$40),"",INDEX(H:H,SMALL(I$1:I$40,1+ROW(G12)-ROW(G$4))))</f>
        <v/>
      </c>
      <c r="P9" t="str">
        <f ca="1">IF(Summary!F10="","",IF(F9=Summary!F10,"Right","Wrong"))</f>
        <v>Right</v>
      </c>
    </row>
    <row r="10" spans="1:19" ht="18" customHeight="1" x14ac:dyDescent="0.4">
      <c r="A10" s="4">
        <v>43820</v>
      </c>
      <c r="B10" s="5" t="s">
        <v>26</v>
      </c>
      <c r="C10" s="12" t="s">
        <v>27</v>
      </c>
      <c r="D10" s="13" t="s">
        <v>28</v>
      </c>
      <c r="E10" s="8" t="s">
        <v>28</v>
      </c>
      <c r="F10" s="9">
        <v>4</v>
      </c>
      <c r="G10" s="10" t="str" cm="1">
        <f t="array" ref="G10">IF(ROW(G10)-ROW(G$4)+1&gt;COUNT(I$1:I$40),"",INDEX(H:H,SMALL(I$1:I$40,1+ROW(G10)-ROW(G$4))))</f>
        <v/>
      </c>
      <c r="H10">
        <v>10</v>
      </c>
      <c r="I10" s="1" t="str">
        <f t="shared" si="0"/>
        <v/>
      </c>
      <c r="J10" s="1" t="str" cm="1">
        <f t="array" ref="J10">IF(ROW(G13)-ROW(G$4)+1&gt;COUNT(I$1:I$40),"",INDEX(H:H,SMALL(I$1:I$40,1+ROW(G13)-ROW(G$4))))</f>
        <v/>
      </c>
      <c r="P10" t="str">
        <f ca="1">IF(Summary!F11="","",IF(F10=Summary!F11,"Right","Wrong"))</f>
        <v>Right</v>
      </c>
    </row>
    <row r="11" spans="1:19" ht="18" customHeight="1" x14ac:dyDescent="0.4">
      <c r="A11" s="4">
        <v>43820</v>
      </c>
      <c r="B11" s="5" t="s">
        <v>29</v>
      </c>
      <c r="C11" s="12" t="s">
        <v>30</v>
      </c>
      <c r="D11" s="13" t="s">
        <v>31</v>
      </c>
      <c r="E11" s="8" t="s">
        <v>30</v>
      </c>
      <c r="F11" s="9">
        <v>14</v>
      </c>
      <c r="G11" s="10" t="str" cm="1">
        <f t="array" ref="G11">IF(ROW(G11)-ROW(G$4)+1&gt;COUNT(I$1:I$40),"",INDEX(H:H,SMALL(I$1:I$40,1+ROW(G11)-ROW(G$4))))</f>
        <v/>
      </c>
      <c r="H11">
        <v>11</v>
      </c>
      <c r="I11" s="1" t="str">
        <f t="shared" si="0"/>
        <v/>
      </c>
      <c r="J11" s="1" t="str" cm="1">
        <f t="array" ref="J11">IF(ROW(G14)-ROW(G$4)+1&gt;COUNT(I$1:I$40),"",INDEX(H:H,SMALL(I$1:I$40,1+ROW(G14)-ROW(G$4))))</f>
        <v/>
      </c>
      <c r="P11" t="str">
        <f ca="1">IF(Summary!F12="","",IF(F11=Summary!F12,"Right","Wrong"))</f>
        <v>Right</v>
      </c>
    </row>
    <row r="12" spans="1:19" ht="18" customHeight="1" x14ac:dyDescent="0.4">
      <c r="A12" s="4">
        <v>43820</v>
      </c>
      <c r="B12" s="5" t="s">
        <v>32</v>
      </c>
      <c r="C12" s="12" t="s">
        <v>33</v>
      </c>
      <c r="D12" s="13" t="s">
        <v>34</v>
      </c>
      <c r="E12" s="8" t="s">
        <v>33</v>
      </c>
      <c r="F12" s="9">
        <v>37</v>
      </c>
      <c r="G12" s="10" t="str" cm="1">
        <f t="array" ref="G12">IF(ROW(G12)-ROW(G$4)+1&gt;COUNT(I$1:I$40),"",INDEX(H:H,SMALL(I$1:I$40,1+ROW(G12)-ROW(G$4))))</f>
        <v/>
      </c>
      <c r="H12">
        <v>12</v>
      </c>
      <c r="I12" s="1" t="str">
        <f t="shared" si="0"/>
        <v/>
      </c>
      <c r="J12" s="1" t="str" cm="1">
        <f t="array" ref="J12">IF(ROW(G15)-ROW(G$4)+1&gt;COUNT(I$1:I$40),"",INDEX(H:H,SMALL(I$1:I$40,1+ROW(G15)-ROW(G$4))))</f>
        <v/>
      </c>
      <c r="P12" t="str">
        <f ca="1">IF(Summary!F13="","",IF(F12=Summary!F13,"Right","Wrong"))</f>
        <v>Right</v>
      </c>
    </row>
    <row r="13" spans="1:19" ht="18" customHeight="1" x14ac:dyDescent="0.4">
      <c r="A13" s="4">
        <v>43822</v>
      </c>
      <c r="B13" s="5" t="s">
        <v>35</v>
      </c>
      <c r="C13" s="12" t="s">
        <v>36</v>
      </c>
      <c r="D13" s="13" t="s">
        <v>37</v>
      </c>
      <c r="E13" s="8" t="s">
        <v>36</v>
      </c>
      <c r="F13" s="9">
        <v>38</v>
      </c>
      <c r="G13" s="10" t="str" cm="1">
        <f t="array" ref="G13">IF(ROW(G13)-ROW(G$4)+1&gt;COUNT(I$1:I$40),"",INDEX(H:H,SMALL(I$1:I$40,1+ROW(G13)-ROW(G$4))))</f>
        <v/>
      </c>
      <c r="H13">
        <v>13</v>
      </c>
      <c r="I13" s="1" t="str">
        <f t="shared" si="0"/>
        <v/>
      </c>
      <c r="J13" s="1" t="str" cm="1">
        <f t="array" ref="J13">IF(ROW(G16)-ROW(G$4)+1&gt;COUNT(I$1:I$40),"",INDEX(H:H,SMALL(I$1:I$40,1+ROW(G16)-ROW(G$4))))</f>
        <v/>
      </c>
      <c r="P13" t="str">
        <f ca="1">IF(Summary!F14="","",IF(F13=Summary!F14,"Right","Wrong"))</f>
        <v>Right</v>
      </c>
    </row>
    <row r="14" spans="1:19" ht="18" customHeight="1" x14ac:dyDescent="0.4">
      <c r="A14" s="4">
        <v>43823</v>
      </c>
      <c r="B14" s="5" t="s">
        <v>38</v>
      </c>
      <c r="C14" s="12" t="s">
        <v>39</v>
      </c>
      <c r="D14" s="13" t="s">
        <v>40</v>
      </c>
      <c r="E14" s="8" t="s">
        <v>40</v>
      </c>
      <c r="F14" s="9">
        <v>15</v>
      </c>
      <c r="G14" s="10" t="str" cm="1">
        <f t="array" ref="G14">IF(ROW(G14)-ROW(G$4)+1&gt;COUNT(I$1:I$40),"",INDEX(H:H,SMALL(I$1:I$40,1+ROW(G14)-ROW(G$4))))</f>
        <v/>
      </c>
      <c r="H14">
        <v>14</v>
      </c>
      <c r="I14" s="1" t="str">
        <f t="shared" si="0"/>
        <v/>
      </c>
      <c r="J14" s="1" t="str" cm="1">
        <f t="array" ref="J14">IF(ROW(G17)-ROW(G$4)+1&gt;COUNT(I$1:I$40),"",INDEX(H:H,SMALL(I$1:I$40,1+ROW(G17)-ROW(G$4))))</f>
        <v/>
      </c>
      <c r="P14" t="str">
        <f ca="1">IF(Summary!F15="","",IF(F14=Summary!F15,"Right","Wrong"))</f>
        <v>Wrong</v>
      </c>
    </row>
    <row r="15" spans="1:19" ht="18" customHeight="1" x14ac:dyDescent="0.4">
      <c r="A15" s="4">
        <v>43825</v>
      </c>
      <c r="B15" s="5" t="s">
        <v>41</v>
      </c>
      <c r="C15" s="12" t="s">
        <v>42</v>
      </c>
      <c r="D15" s="13" t="s">
        <v>43</v>
      </c>
      <c r="E15" s="8" t="s">
        <v>43</v>
      </c>
      <c r="F15" s="9">
        <v>6</v>
      </c>
      <c r="G15" s="10" t="str" cm="1">
        <f t="array" ref="G15">IF(ROW(G15)-ROW(G$4)+1&gt;COUNT(I$1:I$40),"",INDEX(H:H,SMALL(I$1:I$40,1+ROW(G15)-ROW(G$4))))</f>
        <v/>
      </c>
      <c r="H15">
        <v>15</v>
      </c>
      <c r="I15" s="1" t="str">
        <f t="shared" si="0"/>
        <v/>
      </c>
      <c r="J15" s="1" t="str" cm="1">
        <f t="array" ref="J15">IF(ROW(G18)-ROW(G$4)+1&gt;COUNT(I$1:I$40),"",INDEX(H:H,SMALL(I$1:I$40,1+ROW(G18)-ROW(G$4))))</f>
        <v/>
      </c>
      <c r="P15" t="str">
        <f ca="1">IF(Summary!F16="","",IF(F15=Summary!F16,"Right","Wrong"))</f>
        <v>Right</v>
      </c>
    </row>
    <row r="16" spans="1:19" ht="18" customHeight="1" x14ac:dyDescent="0.4">
      <c r="A16" s="4">
        <v>43825</v>
      </c>
      <c r="B16" s="5" t="s">
        <v>44</v>
      </c>
      <c r="C16" s="12" t="s">
        <v>45</v>
      </c>
      <c r="D16" s="13" t="s">
        <v>46</v>
      </c>
      <c r="E16" s="8" t="s">
        <v>45</v>
      </c>
      <c r="F16" s="9">
        <v>35</v>
      </c>
      <c r="G16" s="10" t="str" cm="1">
        <f t="array" ref="G16">IF(ROW(G16)-ROW(G$4)+1&gt;COUNT(I$1:I$40),"",INDEX(H:H,SMALL(I$1:I$40,1+ROW(G16)-ROW(G$4))))</f>
        <v/>
      </c>
      <c r="H16">
        <v>16</v>
      </c>
      <c r="I16" s="1" t="str">
        <f t="shared" si="0"/>
        <v/>
      </c>
      <c r="J16" s="1" t="str" cm="1">
        <f t="array" ref="J16">IF(ROW(G19)-ROW(G$4)+1&gt;COUNT(I$1:I$40),"",INDEX(H:H,SMALL(I$1:I$40,1+ROW(G19)-ROW(G$4))))</f>
        <v/>
      </c>
      <c r="P16" t="str">
        <f ca="1">IF(Summary!F17="","",IF(F16=Summary!F17,"Right","Wrong"))</f>
        <v>Right</v>
      </c>
    </row>
    <row r="17" spans="1:16" ht="18" customHeight="1" x14ac:dyDescent="0.4">
      <c r="A17" s="4">
        <v>43826</v>
      </c>
      <c r="B17" s="5" t="s">
        <v>47</v>
      </c>
      <c r="C17" s="12" t="s">
        <v>48</v>
      </c>
      <c r="D17" s="13" t="s">
        <v>49</v>
      </c>
      <c r="E17" s="8" t="s">
        <v>48</v>
      </c>
      <c r="F17" s="9">
        <v>18</v>
      </c>
      <c r="G17" s="10" t="str" cm="1">
        <f t="array" ref="G17">IF(ROW(G17)-ROW(G$4)+1&gt;COUNT(I$1:I$40),"",INDEX(H:H,SMALL(I$1:I$40,1+ROW(G17)-ROW(G$4))))</f>
        <v/>
      </c>
      <c r="H17">
        <v>17</v>
      </c>
      <c r="I17" s="1" t="str">
        <f t="shared" si="0"/>
        <v/>
      </c>
      <c r="J17" s="1" t="str" cm="1">
        <f t="array" ref="J17">IF(ROW(G20)-ROW(G$4)+1&gt;COUNT(I$1:I$40),"",INDEX(H:H,SMALL(I$1:I$40,1+ROW(G20)-ROW(G$4))))</f>
        <v/>
      </c>
      <c r="P17" t="str">
        <f ca="1">IF(Summary!F18="","",IF(F17=Summary!F18,"Right","Wrong"))</f>
        <v>Right</v>
      </c>
    </row>
    <row r="18" spans="1:16" ht="18" customHeight="1" x14ac:dyDescent="0.4">
      <c r="A18" s="4">
        <v>43826</v>
      </c>
      <c r="B18" s="5" t="s">
        <v>50</v>
      </c>
      <c r="C18" s="12" t="s">
        <v>51</v>
      </c>
      <c r="D18" s="13" t="s">
        <v>52</v>
      </c>
      <c r="E18" s="8" t="s">
        <v>51</v>
      </c>
      <c r="F18" s="9">
        <v>12</v>
      </c>
      <c r="G18" s="10" t="str" cm="1">
        <f t="array" ref="G18">IF(ROW(G18)-ROW(G$4)+1&gt;COUNT(I$1:I$40),"",INDEX(H:H,SMALL(I$1:I$40,1+ROW(G18)-ROW(G$4))))</f>
        <v/>
      </c>
      <c r="H18">
        <v>18</v>
      </c>
      <c r="I18" s="1" t="str">
        <f t="shared" si="0"/>
        <v/>
      </c>
      <c r="J18" s="1" t="str" cm="1">
        <f t="array" ref="J18">IF(ROW(G21)-ROW(G$4)+1&gt;COUNT(I$1:I$40),"",INDEX(H:H,SMALL(I$1:I$40,1+ROW(G21)-ROW(G$4))))</f>
        <v/>
      </c>
      <c r="P18" t="str">
        <f ca="1">IF(Summary!F19="","",IF(F18=Summary!F19,"Right","Wrong"))</f>
        <v>Wrong</v>
      </c>
    </row>
    <row r="19" spans="1:16" ht="18" customHeight="1" x14ac:dyDescent="0.4">
      <c r="A19" s="4">
        <v>43826</v>
      </c>
      <c r="B19" s="5" t="s">
        <v>53</v>
      </c>
      <c r="C19" s="12" t="s">
        <v>54</v>
      </c>
      <c r="D19" s="13" t="s">
        <v>55</v>
      </c>
      <c r="E19" s="8" t="s">
        <v>55</v>
      </c>
      <c r="F19" s="9">
        <v>28</v>
      </c>
      <c r="G19" s="10" t="str" cm="1">
        <f t="array" ref="G19">IF(ROW(G19)-ROW(G$4)+1&gt;COUNT(I$1:I$40),"",INDEX(H:H,SMALL(I$1:I$40,1+ROW(G19)-ROW(G$4))))</f>
        <v/>
      </c>
      <c r="H19">
        <v>19</v>
      </c>
      <c r="I19" s="1" t="str">
        <f t="shared" si="0"/>
        <v/>
      </c>
      <c r="J19" s="1" t="str" cm="1">
        <f t="array" ref="J19">IF(ROW(G22)-ROW(G$4)+1&gt;COUNT(I$1:I$40),"",INDEX(H:H,SMALL(I$1:I$40,1+ROW(G22)-ROW(G$4))))</f>
        <v/>
      </c>
      <c r="P19" t="str">
        <f ca="1">IF(Summary!F20="","",IF(F19=Summary!F20,"Right","Wrong"))</f>
        <v>Right</v>
      </c>
    </row>
    <row r="20" spans="1:16" ht="18" customHeight="1" x14ac:dyDescent="0.4">
      <c r="A20" s="4">
        <v>43826</v>
      </c>
      <c r="B20" s="5" t="s">
        <v>56</v>
      </c>
      <c r="C20" s="12" t="s">
        <v>57</v>
      </c>
      <c r="D20" s="13" t="s">
        <v>58</v>
      </c>
      <c r="E20" s="8" t="s">
        <v>58</v>
      </c>
      <c r="F20" s="9">
        <v>16</v>
      </c>
      <c r="G20" s="10" t="str" cm="1">
        <f t="array" ref="G20">IF(ROW(G20)-ROW(G$4)+1&gt;COUNT(I$1:I$40),"",INDEX(H:H,SMALL(I$1:I$40,1+ROW(G20)-ROW(G$4))))</f>
        <v/>
      </c>
      <c r="H20">
        <v>20</v>
      </c>
      <c r="I20" s="1" t="str">
        <f t="shared" si="0"/>
        <v/>
      </c>
      <c r="J20" s="1" t="str" cm="1">
        <f t="array" ref="J20">IF(ROW(G23)-ROW(G$4)+1&gt;COUNT(I$1:I$40),"",INDEX(H:H,SMALL(I$1:I$40,1+ROW(G23)-ROW(G$4))))</f>
        <v/>
      </c>
      <c r="P20" t="str">
        <f ca="1">IF(Summary!F21="","",IF(F20=Summary!F21,"Right","Wrong"))</f>
        <v>Right</v>
      </c>
    </row>
    <row r="21" spans="1:16" ht="18" customHeight="1" x14ac:dyDescent="0.4">
      <c r="A21" s="4">
        <v>43826</v>
      </c>
      <c r="B21" s="5" t="s">
        <v>59</v>
      </c>
      <c r="C21" s="12" t="s">
        <v>60</v>
      </c>
      <c r="D21" s="13" t="s">
        <v>61</v>
      </c>
      <c r="E21" s="8" t="s">
        <v>60</v>
      </c>
      <c r="F21" s="9">
        <v>11</v>
      </c>
      <c r="G21" s="10" t="str" cm="1">
        <f t="array" ref="G21">IF(ROW(G21)-ROW(G$4)+1&gt;COUNT(I$1:I$40),"",INDEX(H:H,SMALL(I$1:I$40,1+ROW(G21)-ROW(G$4))))</f>
        <v/>
      </c>
      <c r="H21">
        <v>21</v>
      </c>
      <c r="I21" s="1" t="str">
        <f t="shared" si="0"/>
        <v/>
      </c>
      <c r="J21" s="1" t="str" cm="1">
        <f t="array" ref="J21">IF(ROW(G24)-ROW(G$4)+1&gt;COUNT(I$1:I$40),"",INDEX(H:H,SMALL(I$1:I$40,1+ROW(G24)-ROW(G$4))))</f>
        <v/>
      </c>
      <c r="P21" t="str">
        <f ca="1">IF(Summary!F22="","",IF(F21=Summary!F22,"Right","Wrong"))</f>
        <v>Right</v>
      </c>
    </row>
    <row r="22" spans="1:16" ht="18" customHeight="1" x14ac:dyDescent="0.4">
      <c r="A22" s="4">
        <v>43827</v>
      </c>
      <c r="B22" s="5" t="s">
        <v>62</v>
      </c>
      <c r="C22" s="12" t="s">
        <v>63</v>
      </c>
      <c r="D22" s="13" t="s">
        <v>64</v>
      </c>
      <c r="E22" s="8" t="s">
        <v>63</v>
      </c>
      <c r="F22" s="9">
        <v>17</v>
      </c>
      <c r="G22" s="10" t="str" cm="1">
        <f t="array" ref="G22">IF(ROW(G22)-ROW(G$4)+1&gt;COUNT(I$1:I$40),"",INDEX(H:H,SMALL(I$1:I$40,1+ROW(G22)-ROW(G$4))))</f>
        <v/>
      </c>
      <c r="H22">
        <v>22</v>
      </c>
      <c r="I22" s="1" t="str">
        <f t="shared" si="0"/>
        <v/>
      </c>
      <c r="J22" s="1" t="str" cm="1">
        <f t="array" ref="J22">IF(ROW(G25)-ROW(G$4)+1&gt;COUNT(I$1:I$40),"",INDEX(H:H,SMALL(I$1:I$40,1+ROW(G25)-ROW(G$4))))</f>
        <v/>
      </c>
      <c r="P22" t="str">
        <f ca="1">IF(Summary!F23="","",IF(F22=Summary!F23,"Right","Wrong"))</f>
        <v>Right</v>
      </c>
    </row>
    <row r="23" spans="1:16" ht="18" customHeight="1" x14ac:dyDescent="0.4">
      <c r="A23" s="4">
        <v>43827</v>
      </c>
      <c r="B23" s="5" t="s">
        <v>65</v>
      </c>
      <c r="C23" s="12" t="s">
        <v>66</v>
      </c>
      <c r="D23" s="13" t="s">
        <v>67</v>
      </c>
      <c r="E23" s="8" t="s">
        <v>66</v>
      </c>
      <c r="F23" s="9">
        <v>23</v>
      </c>
      <c r="G23" s="10" t="str" cm="1">
        <f t="array" ref="G23">IF(ROW(G23)-ROW(G$4)+1&gt;COUNT(I$1:I$40),"",INDEX(H:H,SMALL(I$1:I$40,1+ROW(G23)-ROW(G$4))))</f>
        <v/>
      </c>
      <c r="H23">
        <v>23</v>
      </c>
      <c r="I23" s="1" t="str">
        <f t="shared" si="0"/>
        <v/>
      </c>
      <c r="J23" s="1" t="str" cm="1">
        <f t="array" ref="J23">IF(ROW(G26)-ROW(G$4)+1&gt;COUNT(I$1:I$40),"",INDEX(H:H,SMALL(I$1:I$40,1+ROW(G26)-ROW(G$4))))</f>
        <v/>
      </c>
      <c r="P23" t="str">
        <f ca="1">IF(Summary!F24="","",IF(F23=Summary!F24,"Right","Wrong"))</f>
        <v>Right</v>
      </c>
    </row>
    <row r="24" spans="1:16" ht="18" customHeight="1" x14ac:dyDescent="0.4">
      <c r="A24" s="4">
        <v>43827</v>
      </c>
      <c r="B24" s="5" t="s">
        <v>68</v>
      </c>
      <c r="C24" s="12" t="s">
        <v>69</v>
      </c>
      <c r="D24" s="13" t="s">
        <v>70</v>
      </c>
      <c r="E24" s="8" t="s">
        <v>69</v>
      </c>
      <c r="F24" s="9">
        <v>39</v>
      </c>
      <c r="G24" s="10" t="str" cm="1">
        <f t="array" ref="G24">IF(ROW(G24)-ROW(G$4)+1&gt;COUNT(I$1:I$40),"",INDEX(H:H,SMALL(I$1:I$40,1+ROW(G24)-ROW(G$4))))</f>
        <v/>
      </c>
      <c r="H24">
        <v>24</v>
      </c>
      <c r="I24" s="1" t="str">
        <f t="shared" si="0"/>
        <v/>
      </c>
      <c r="J24" s="1" t="str" cm="1">
        <f t="array" ref="J24">IF(ROW(G27)-ROW(G$4)+1&gt;COUNT(I$1:I$40),"",INDEX(H:H,SMALL(I$1:I$40,1+ROW(G27)-ROW(G$4))))</f>
        <v/>
      </c>
      <c r="P24" t="str">
        <f ca="1">IF(Summary!F25="","",IF(F24=Summary!F25,"Right","Wrong"))</f>
        <v>Right</v>
      </c>
    </row>
    <row r="25" spans="1:16" ht="18" customHeight="1" x14ac:dyDescent="0.4">
      <c r="A25" s="4">
        <v>43827</v>
      </c>
      <c r="B25" s="5" t="s">
        <v>71</v>
      </c>
      <c r="C25" s="12" t="s">
        <v>72</v>
      </c>
      <c r="D25" s="13" t="s">
        <v>73</v>
      </c>
      <c r="E25" s="8" t="s">
        <v>72</v>
      </c>
      <c r="F25" s="9">
        <v>5</v>
      </c>
      <c r="G25" s="10" t="str" cm="1">
        <f t="array" ref="G25">IF(ROW(G25)-ROW(G$4)+1&gt;COUNT(I$1:I$40),"",INDEX(H:H,SMALL(I$1:I$40,1+ROW(G25)-ROW(G$4))))</f>
        <v/>
      </c>
      <c r="H25">
        <v>25</v>
      </c>
      <c r="I25" s="1" t="str">
        <f t="shared" si="0"/>
        <v/>
      </c>
      <c r="J25" s="1" t="str" cm="1">
        <f t="array" ref="J25">IF(ROW(G28)-ROW(G$4)+1&gt;COUNT(I$1:I$40),"",INDEX(H:H,SMALL(I$1:I$40,1+ROW(G28)-ROW(G$4))))</f>
        <v/>
      </c>
      <c r="P25" t="str">
        <f ca="1">IF(Summary!F26="","",IF(F25=Summary!F26,"Right","Wrong"))</f>
        <v>Wrong</v>
      </c>
    </row>
    <row r="26" spans="1:16" ht="18" customHeight="1" x14ac:dyDescent="0.4">
      <c r="A26" s="4">
        <v>43829</v>
      </c>
      <c r="B26" s="5" t="s">
        <v>74</v>
      </c>
      <c r="C26" s="12" t="s">
        <v>75</v>
      </c>
      <c r="D26" s="13" t="s">
        <v>76</v>
      </c>
      <c r="E26" s="8" t="s">
        <v>76</v>
      </c>
      <c r="F26" s="9">
        <v>22</v>
      </c>
      <c r="G26" s="10" t="str" cm="1">
        <f t="array" ref="G26">IF(ROW(G26)-ROW(G$4)+1&gt;COUNT(I$1:I$40),"",INDEX(H:H,SMALL(I$1:I$40,1+ROW(G26)-ROW(G$4))))</f>
        <v/>
      </c>
      <c r="H26">
        <v>26</v>
      </c>
      <c r="I26" s="1" t="str">
        <f t="shared" si="0"/>
        <v/>
      </c>
      <c r="J26" s="1" t="str" cm="1">
        <f t="array" ref="J26">IF(ROW(G29)-ROW(G$4)+1&gt;COUNT(I$1:I$40),"",INDEX(H:H,SMALL(I$1:I$40,1+ROW(G29)-ROW(G$4))))</f>
        <v/>
      </c>
      <c r="P26" t="str">
        <f ca="1">IF(Summary!F27="","",IF(F26=Summary!F27,"Right","Wrong"))</f>
        <v>Wrong</v>
      </c>
    </row>
    <row r="27" spans="1:16" ht="18" customHeight="1" x14ac:dyDescent="0.4">
      <c r="A27" s="4">
        <v>43829</v>
      </c>
      <c r="B27" s="5" t="s">
        <v>77</v>
      </c>
      <c r="C27" s="12" t="s">
        <v>78</v>
      </c>
      <c r="D27" s="13" t="s">
        <v>148</v>
      </c>
      <c r="E27" s="8" t="s">
        <v>148</v>
      </c>
      <c r="F27" s="9">
        <v>10</v>
      </c>
      <c r="G27" s="10" t="str" cm="1">
        <f t="array" ref="G27">IF(ROW(G27)-ROW(G$4)+1&gt;COUNT(I$1:I$40),"",INDEX(H:H,SMALL(I$1:I$40,1+ROW(G27)-ROW(G$4))))</f>
        <v/>
      </c>
      <c r="H27">
        <v>27</v>
      </c>
      <c r="I27" s="1" t="str">
        <f t="shared" si="0"/>
        <v/>
      </c>
      <c r="J27" s="1" t="str" cm="1">
        <f t="array" ref="J27">IF(ROW(G30)-ROW(G$4)+1&gt;COUNT(I$1:I$40),"",INDEX(H:H,SMALL(I$1:I$40,1+ROW(G30)-ROW(G$4))))</f>
        <v/>
      </c>
      <c r="P27" t="str">
        <f ca="1">IF(Summary!F28="","",IF(F27=Summary!F28,"Right","Wrong"))</f>
        <v>Right</v>
      </c>
    </row>
    <row r="28" spans="1:16" ht="18" customHeight="1" x14ac:dyDescent="0.4">
      <c r="A28" s="4">
        <v>43829</v>
      </c>
      <c r="B28" s="5" t="s">
        <v>80</v>
      </c>
      <c r="C28" s="12" t="s">
        <v>81</v>
      </c>
      <c r="D28" s="13" t="s">
        <v>82</v>
      </c>
      <c r="E28" s="8" t="s">
        <v>82</v>
      </c>
      <c r="F28" s="9">
        <v>29</v>
      </c>
      <c r="G28" s="10" t="str" cm="1">
        <f t="array" ref="G28">IF(ROW(G28)-ROW(G$4)+1&gt;COUNT(I$1:I$40),"",INDEX(H:H,SMALL(I$1:I$40,1+ROW(G28)-ROW(G$4))))</f>
        <v/>
      </c>
      <c r="H28">
        <v>28</v>
      </c>
      <c r="I28" s="1" t="str">
        <f t="shared" si="0"/>
        <v/>
      </c>
      <c r="J28" s="1" t="str" cm="1">
        <f t="array" ref="J28">IF(ROW(G31)-ROW(G$4)+1&gt;COUNT(I$1:I$40),"",INDEX(H:H,SMALL(I$1:I$40,1+ROW(G31)-ROW(G$4))))</f>
        <v/>
      </c>
      <c r="P28" t="str">
        <f ca="1">IF(Summary!F29="","",IF(F28=Summary!F29,"Right","Wrong"))</f>
        <v>Right</v>
      </c>
    </row>
    <row r="29" spans="1:16" ht="18" customHeight="1" x14ac:dyDescent="0.4">
      <c r="A29" s="4">
        <v>43829</v>
      </c>
      <c r="B29" s="5" t="s">
        <v>83</v>
      </c>
      <c r="C29" s="12" t="s">
        <v>84</v>
      </c>
      <c r="D29" s="13" t="s">
        <v>85</v>
      </c>
      <c r="E29" s="8" t="s">
        <v>84</v>
      </c>
      <c r="F29" s="9">
        <v>40</v>
      </c>
      <c r="G29" s="10" t="str" cm="1">
        <f t="array" ref="G29">IF(ROW(G29)-ROW(G$4)+1&gt;COUNT(I$1:I$40),"",INDEX(H:H,SMALL(I$1:I$40,1+ROW(G29)-ROW(G$4))))</f>
        <v/>
      </c>
      <c r="H29">
        <v>29</v>
      </c>
      <c r="I29" s="1" t="str">
        <f t="shared" si="0"/>
        <v/>
      </c>
      <c r="J29" s="1" t="str" cm="1">
        <f t="array" ref="J29">IF(ROW(G32)-ROW(G$4)+1&gt;COUNT(I$1:I$40),"",INDEX(H:H,SMALL(I$1:I$40,1+ROW(G32)-ROW(G$4))))</f>
        <v/>
      </c>
      <c r="P29" t="str">
        <f ca="1">IF(Summary!F30="","",IF(F29=Summary!F30,"Right","Wrong"))</f>
        <v>Right</v>
      </c>
    </row>
    <row r="30" spans="1:16" ht="18" customHeight="1" x14ac:dyDescent="0.4">
      <c r="A30" s="4">
        <v>43830</v>
      </c>
      <c r="B30" s="5" t="s">
        <v>86</v>
      </c>
      <c r="C30" s="12" t="s">
        <v>87</v>
      </c>
      <c r="D30" s="13" t="s">
        <v>88</v>
      </c>
      <c r="E30" s="8" t="s">
        <v>88</v>
      </c>
      <c r="F30" s="9">
        <v>9</v>
      </c>
      <c r="G30" s="10" t="str" cm="1">
        <f t="array" ref="G30">IF(ROW(G30)-ROW(G$4)+1&gt;COUNT(I$1:I$40),"",INDEX(H:H,SMALL(I$1:I$40,1+ROW(G30)-ROW(G$4))))</f>
        <v/>
      </c>
      <c r="H30">
        <v>30</v>
      </c>
      <c r="I30" s="1" t="str">
        <f t="shared" si="0"/>
        <v/>
      </c>
      <c r="J30" s="1" t="str" cm="1">
        <f t="array" ref="J30">IF(ROW(G33)-ROW(G$4)+1&gt;COUNT(I$1:I$40),"",INDEX(H:H,SMALL(I$1:I$40,1+ROW(G33)-ROW(G$4))))</f>
        <v/>
      </c>
      <c r="P30" t="str">
        <f ca="1">IF(Summary!F31="","",IF(F30=Summary!F31,"Right","Wrong"))</f>
        <v>Wrong</v>
      </c>
    </row>
    <row r="31" spans="1:16" ht="18" customHeight="1" x14ac:dyDescent="0.4">
      <c r="A31" s="4">
        <v>43830</v>
      </c>
      <c r="B31" s="5" t="s">
        <v>89</v>
      </c>
      <c r="C31" s="12" t="s">
        <v>90</v>
      </c>
      <c r="D31" s="13" t="s">
        <v>91</v>
      </c>
      <c r="E31" s="8" t="s">
        <v>91</v>
      </c>
      <c r="F31" s="9">
        <v>8</v>
      </c>
      <c r="G31" s="10" t="str" cm="1">
        <f t="array" ref="G31">IF(ROW(G31)-ROW(G$4)+1&gt;COUNT(I$1:I$40),"",INDEX(H:H,SMALL(I$1:I$40,1+ROW(G31)-ROW(G$4))))</f>
        <v/>
      </c>
      <c r="H31">
        <v>31</v>
      </c>
      <c r="I31" s="1" t="str">
        <f t="shared" si="0"/>
        <v/>
      </c>
      <c r="J31" s="1" t="str" cm="1">
        <f t="array" ref="J31">IF(ROW(G34)-ROW(G$4)+1&gt;COUNT(I$1:I$40),"",INDEX(H:H,SMALL(I$1:I$40,1+ROW(G34)-ROW(G$4))))</f>
        <v/>
      </c>
      <c r="P31" t="str">
        <f ca="1">IF(Summary!F32="","",IF(F31=Summary!F32,"Right","Wrong"))</f>
        <v>Right</v>
      </c>
    </row>
    <row r="32" spans="1:16" ht="18" customHeight="1" x14ac:dyDescent="0.4">
      <c r="A32" s="4">
        <v>43830</v>
      </c>
      <c r="B32" s="5" t="s">
        <v>92</v>
      </c>
      <c r="C32" s="12" t="s">
        <v>93</v>
      </c>
      <c r="D32" s="13" t="s">
        <v>94</v>
      </c>
      <c r="E32" s="8" t="s">
        <v>94</v>
      </c>
      <c r="F32" s="9">
        <v>1</v>
      </c>
      <c r="G32" s="10" t="str" cm="1">
        <f t="array" ref="G32">IF(ROW(G32)-ROW(G$4)+1&gt;COUNT(I$1:I$40),"",INDEX(H:H,SMALL(I$1:I$40,1+ROW(G32)-ROW(G$4))))</f>
        <v/>
      </c>
      <c r="H32">
        <v>32</v>
      </c>
      <c r="I32" s="1" t="str">
        <f t="shared" si="0"/>
        <v/>
      </c>
      <c r="J32" s="1" t="str" cm="1">
        <f t="array" ref="J32">IF(ROW(G35)-ROW(G$4)+1&gt;COUNT(I$1:I$40),"",INDEX(H:H,SMALL(I$1:I$40,1+ROW(G35)-ROW(G$4))))</f>
        <v/>
      </c>
      <c r="P32" t="str">
        <f ca="1">IF(Summary!F33="","",IF(F32=Summary!F33,"Right","Wrong"))</f>
        <v>Wrong</v>
      </c>
    </row>
    <row r="33" spans="1:16" ht="18" customHeight="1" x14ac:dyDescent="0.4">
      <c r="A33" s="4">
        <v>43830</v>
      </c>
      <c r="B33" s="5" t="s">
        <v>95</v>
      </c>
      <c r="C33" s="12" t="s">
        <v>96</v>
      </c>
      <c r="D33" s="13" t="s">
        <v>97</v>
      </c>
      <c r="E33" s="8" t="s">
        <v>97</v>
      </c>
      <c r="F33" s="9">
        <v>31</v>
      </c>
      <c r="G33" s="10" t="str" cm="1">
        <f t="array" ref="G33">IF(ROW(G33)-ROW(G$4)+1&gt;COUNT(I$1:I$40),"",INDEX(H:H,SMALL(I$1:I$40,1+ROW(G33)-ROW(G$4))))</f>
        <v/>
      </c>
      <c r="H33">
        <v>33</v>
      </c>
      <c r="I33" s="1" t="str">
        <f t="shared" si="0"/>
        <v/>
      </c>
      <c r="J33" s="1" t="str" cm="1">
        <f t="array" ref="J33">IF(ROW(G36)-ROW(G$4)+1&gt;COUNT(I$1:I$40),"",INDEX(H:H,SMALL(I$1:I$40,1+ROW(G36)-ROW(G$4))))</f>
        <v/>
      </c>
      <c r="P33" t="str">
        <f ca="1">IF(Summary!F34="","",IF(F33=Summary!F34,"Right","Wrong"))</f>
        <v>Right</v>
      </c>
    </row>
    <row r="34" spans="1:16" ht="18" customHeight="1" x14ac:dyDescent="0.4">
      <c r="A34" s="4">
        <v>43830</v>
      </c>
      <c r="B34" s="5" t="s">
        <v>98</v>
      </c>
      <c r="C34" s="12" t="s">
        <v>99</v>
      </c>
      <c r="D34" s="13" t="s">
        <v>100</v>
      </c>
      <c r="E34" s="8" t="s">
        <v>99</v>
      </c>
      <c r="F34" s="9">
        <v>27</v>
      </c>
      <c r="G34" s="10" t="str" cm="1">
        <f t="array" ref="G34">IF(ROW(G34)-ROW(G$4)+1&gt;COUNT(I$1:I$40),"",INDEX(H:H,SMALL(I$1:I$40,1+ROW(G34)-ROW(G$4))))</f>
        <v/>
      </c>
      <c r="H34">
        <v>34</v>
      </c>
      <c r="I34" s="1" t="str">
        <f t="shared" si="0"/>
        <v/>
      </c>
      <c r="J34" s="1" t="str" cm="1">
        <f t="array" ref="J34">IF(ROW(G37)-ROW(G$4)+1&gt;COUNT(I$1:I$40),"",INDEX(H:H,SMALL(I$1:I$40,1+ROW(G37)-ROW(G$4))))</f>
        <v/>
      </c>
      <c r="P34" t="str">
        <f ca="1">IF(Summary!F35="","",IF(F34=Summary!F35,"Right","Wrong"))</f>
        <v>Wrong</v>
      </c>
    </row>
    <row r="35" spans="1:16" ht="18" customHeight="1" x14ac:dyDescent="0.4">
      <c r="A35" s="4">
        <v>43466</v>
      </c>
      <c r="B35" s="5" t="s">
        <v>101</v>
      </c>
      <c r="C35" s="12" t="s">
        <v>102</v>
      </c>
      <c r="D35" s="13" t="s">
        <v>103</v>
      </c>
      <c r="E35" s="8" t="s">
        <v>102</v>
      </c>
      <c r="F35" s="9">
        <v>36</v>
      </c>
      <c r="G35" s="10" t="str" cm="1">
        <f t="array" ref="G35">IF(ROW(G35)-ROW(G$4)+1&gt;COUNT(I$1:I$40),"",INDEX(H:H,SMALL(I$1:I$40,1+ROW(G35)-ROW(G$4))))</f>
        <v/>
      </c>
      <c r="H35">
        <v>35</v>
      </c>
      <c r="I35" s="1" t="str">
        <f t="shared" si="0"/>
        <v/>
      </c>
      <c r="J35" s="1" t="str" cm="1">
        <f t="array" ref="J35">IF(ROW(G38)-ROW(G$4)+1&gt;COUNT(I$1:I$40),"",INDEX(H:H,SMALL(I$1:I$40,1+ROW(G38)-ROW(G$4))))</f>
        <v/>
      </c>
      <c r="P35" t="str">
        <f ca="1">IF(Summary!F36="","",IF(F35=Summary!F36,"Right","Wrong"))</f>
        <v>Right</v>
      </c>
    </row>
    <row r="36" spans="1:16" ht="18" customHeight="1" x14ac:dyDescent="0.4">
      <c r="A36" s="4">
        <v>43466</v>
      </c>
      <c r="B36" s="5" t="s">
        <v>104</v>
      </c>
      <c r="C36" s="12" t="s">
        <v>105</v>
      </c>
      <c r="D36" s="13" t="s">
        <v>106</v>
      </c>
      <c r="E36" s="8" t="s">
        <v>105</v>
      </c>
      <c r="F36" s="9">
        <v>26</v>
      </c>
      <c r="G36" s="10" t="str" cm="1">
        <f t="array" ref="G36">IF(ROW(G36)-ROW(G$4)+1&gt;COUNT(I$1:I$40),"",INDEX(H:H,SMALL(I$1:I$40,1+ROW(G36)-ROW(G$4))))</f>
        <v/>
      </c>
      <c r="H36">
        <v>36</v>
      </c>
      <c r="I36" s="1" t="str">
        <f t="shared" si="0"/>
        <v/>
      </c>
      <c r="J36" s="1" t="str" cm="1">
        <f t="array" ref="J36">IF(ROW(G39)-ROW(G$4)+1&gt;COUNT(I$1:I$40),"",INDEX(H:H,SMALL(I$1:I$40,1+ROW(G39)-ROW(G$4))))</f>
        <v/>
      </c>
      <c r="P36" t="str">
        <f ca="1">IF(Summary!F37="","",IF(F36=Summary!F37,"Right","Wrong"))</f>
        <v>Wrong</v>
      </c>
    </row>
    <row r="37" spans="1:16" ht="18" customHeight="1" x14ac:dyDescent="0.4">
      <c r="A37" s="4">
        <v>43466</v>
      </c>
      <c r="B37" s="5" t="s">
        <v>107</v>
      </c>
      <c r="C37" s="12" t="s">
        <v>108</v>
      </c>
      <c r="D37" s="13" t="s">
        <v>109</v>
      </c>
      <c r="E37" s="8" t="s">
        <v>109</v>
      </c>
      <c r="F37" s="9">
        <v>7</v>
      </c>
      <c r="G37" s="10" t="str" cm="1">
        <f t="array" ref="G37">IF(ROW(G37)-ROW(G$4)+1&gt;COUNT(I$1:I$40),"",INDEX(H:H,SMALL(I$1:I$40,1+ROW(G37)-ROW(G$4))))</f>
        <v/>
      </c>
      <c r="H37">
        <v>37</v>
      </c>
      <c r="I37" s="1" t="str">
        <f t="shared" si="0"/>
        <v/>
      </c>
      <c r="J37" s="1" t="str" cm="1">
        <f t="array" ref="J37">IF(ROW(G40)-ROW(G$4)+1&gt;COUNT(I$1:I$40),"",INDEX(H:H,SMALL(I$1:I$40,1+ROW(G40)-ROW(G$4))))</f>
        <v/>
      </c>
      <c r="P37" t="str">
        <f ca="1">IF(Summary!F38="","",IF(F37=Summary!F38,"Right","Wrong"))</f>
        <v>Wrong</v>
      </c>
    </row>
    <row r="38" spans="1:16" ht="18" customHeight="1" x14ac:dyDescent="0.4">
      <c r="A38" s="4">
        <v>43466</v>
      </c>
      <c r="B38" s="5" t="s">
        <v>110</v>
      </c>
      <c r="C38" s="12" t="s">
        <v>111</v>
      </c>
      <c r="D38" s="13" t="s">
        <v>112</v>
      </c>
      <c r="E38" s="8" t="s">
        <v>111</v>
      </c>
      <c r="F38" s="9">
        <v>19</v>
      </c>
      <c r="G38" s="10" t="str" cm="1">
        <f t="array" ref="G38">IF(ROW(G38)-ROW(G$4)+1&gt;COUNT(I$1:I$40),"",INDEX(H:H,SMALL(I$1:I$40,1+ROW(G38)-ROW(G$4))))</f>
        <v/>
      </c>
      <c r="H38">
        <v>38</v>
      </c>
      <c r="I38" s="1" t="str">
        <f t="shared" si="0"/>
        <v/>
      </c>
      <c r="J38" s="1" t="str" cm="1">
        <f t="array" ref="J38">IF(ROW(G41)-ROW(G$4)+1&gt;COUNT(I$1:I$40),"",INDEX(H:H,SMALL(I$1:I$40,1+ROW(G41)-ROW(G$4))))</f>
        <v/>
      </c>
      <c r="P38" t="str">
        <f ca="1">IF(Summary!F39="","",IF(F38=Summary!F39,"Right","Wrong"))</f>
        <v>Right</v>
      </c>
    </row>
    <row r="39" spans="1:16" ht="18" customHeight="1" x14ac:dyDescent="0.4">
      <c r="A39" s="4">
        <v>43467</v>
      </c>
      <c r="B39" s="5" t="s">
        <v>113</v>
      </c>
      <c r="C39" s="12" t="s">
        <v>114</v>
      </c>
      <c r="D39" s="13" t="s">
        <v>115</v>
      </c>
      <c r="E39" s="8" t="s">
        <v>115</v>
      </c>
      <c r="F39" s="9">
        <v>33</v>
      </c>
      <c r="G39" s="10" t="str" cm="1">
        <f t="array" ref="G39">IF(ROW(G39)-ROW(G$4)+1&gt;COUNT(I$1:I$40),"",INDEX(H:H,SMALL(I$1:I$40,1+ROW(G39)-ROW(G$4))))</f>
        <v/>
      </c>
      <c r="H39">
        <v>39</v>
      </c>
      <c r="I39" s="1" t="str">
        <f t="shared" si="0"/>
        <v/>
      </c>
      <c r="J39" s="1" t="str" cm="1">
        <f t="array" ref="J39">IF(ROW(G42)-ROW(G$4)+1&gt;COUNT(I$1:I$40),"",INDEX(H:H,SMALL(I$1:I$40,1+ROW(G42)-ROW(G$4))))</f>
        <v/>
      </c>
      <c r="P39" t="str">
        <f ca="1">IF(Summary!F40="","",IF(F39=Summary!F40,"Right","Wrong"))</f>
        <v>Right</v>
      </c>
    </row>
    <row r="40" spans="1:16" ht="18" customHeight="1" x14ac:dyDescent="0.4">
      <c r="A40" s="4">
        <v>43467</v>
      </c>
      <c r="B40" s="5" t="s">
        <v>116</v>
      </c>
      <c r="C40" s="12" t="s">
        <v>117</v>
      </c>
      <c r="D40" s="13" t="s">
        <v>118</v>
      </c>
      <c r="E40" s="8" t="s">
        <v>117</v>
      </c>
      <c r="F40" s="9">
        <v>2</v>
      </c>
      <c r="G40" s="10" t="str" cm="1">
        <f t="array" ref="G40">IF(ROW(G40)-ROW(G$4)+1&gt;COUNT(I$1:I$40),"",INDEX(H:H,SMALL(I$1:I$40,1+ROW(G40)-ROW(G$4))))</f>
        <v/>
      </c>
      <c r="H40">
        <v>40</v>
      </c>
      <c r="I40" s="1" t="str">
        <f t="shared" si="0"/>
        <v/>
      </c>
      <c r="J40" s="1" t="str" cm="1">
        <f t="array" ref="J40">IF(ROW(G43)-ROW(G$4)+1&gt;COUNT(I$1:I$40),"",INDEX(H:H,SMALL(I$1:I$40,1+ROW(G43)-ROW(G$4))))</f>
        <v/>
      </c>
      <c r="P40" t="str">
        <f ca="1">IF(Summary!F41="","",IF(F40=Summary!F41,"Right","Wrong"))</f>
        <v>Right</v>
      </c>
    </row>
    <row r="41" spans="1:16" ht="18" customHeight="1" x14ac:dyDescent="0.4">
      <c r="A41" s="4">
        <v>43468</v>
      </c>
      <c r="B41" s="5" t="s">
        <v>119</v>
      </c>
      <c r="C41" s="12" t="s">
        <v>120</v>
      </c>
      <c r="D41" s="13" t="s">
        <v>121</v>
      </c>
      <c r="E41" s="8" t="s">
        <v>120</v>
      </c>
      <c r="F41" s="9">
        <v>30</v>
      </c>
      <c r="G41" s="10" t="str" cm="1">
        <f t="array" ref="G41">IF(ROW(G41)-ROW(G$4)+1&gt;COUNT(I$1:I$40),"",INDEX(H:H,SMALL(I$1:I$40,1+ROW(G41)-ROW(G$4))))</f>
        <v/>
      </c>
      <c r="I41" s="1"/>
      <c r="J41" s="1" t="str" cm="1">
        <f t="array" ref="J41">IF(ROW(G44)-ROW(G$4)+1&gt;COUNT(I$1:I$40),"",INDEX(H:H,SMALL(I$1:I$40,1+ROW(G44)-ROW(G$4))))</f>
        <v/>
      </c>
      <c r="P41" t="str">
        <f ca="1">IF(Summary!F42="","",IF(F41=Summary!F42,"Right","Wrong"))</f>
        <v>Right</v>
      </c>
    </row>
    <row r="42" spans="1:16" ht="18" customHeight="1" x14ac:dyDescent="0.4">
      <c r="A42" s="4">
        <v>43469</v>
      </c>
      <c r="B42" s="5" t="s">
        <v>122</v>
      </c>
      <c r="C42" s="12" t="s">
        <v>123</v>
      </c>
      <c r="D42" s="13" t="s">
        <v>124</v>
      </c>
      <c r="E42" s="8" t="s">
        <v>123</v>
      </c>
      <c r="F42" s="9">
        <v>32</v>
      </c>
      <c r="G42" s="10" t="str" cm="1">
        <f t="array" ref="G42">IF(ROW(G42)-ROW(G$4)+1&gt;COUNT(I$1:I$40),"",INDEX(H:H,SMALL(I$1:I$40,1+ROW(G42)-ROW(G$4))))</f>
        <v/>
      </c>
      <c r="H42" s="14"/>
      <c r="P42" t="str">
        <f ca="1">IF(Summary!F43="","",IF(F42=Summary!F43,"Right","Wrong"))</f>
        <v>Right</v>
      </c>
    </row>
    <row r="43" spans="1:16" ht="18" customHeight="1" thickBot="1" x14ac:dyDescent="0.45">
      <c r="A43" s="15">
        <v>43471</v>
      </c>
      <c r="B43" s="16" t="s">
        <v>125</v>
      </c>
      <c r="C43" s="17" t="s">
        <v>126</v>
      </c>
      <c r="D43" s="18" t="s">
        <v>127</v>
      </c>
      <c r="E43" s="19" t="s">
        <v>126</v>
      </c>
      <c r="F43" s="20">
        <v>34</v>
      </c>
      <c r="G43" s="21" t="str" cm="1">
        <f t="array" ref="G43">IF(ROW(G43)-ROW(G$4)+1&gt;COUNT(I$1:I$40),"",INDEX(H:H,SMALL(I$1:I$40,1+ROW(G43)-ROW(G$4))))</f>
        <v/>
      </c>
      <c r="H43" s="14"/>
      <c r="P43" t="str">
        <f ca="1">IF(Summary!F44="","",IF(F43=Summary!F44,"Right","Wrong"))</f>
        <v>Right</v>
      </c>
    </row>
    <row r="44" spans="1:16" ht="18" customHeight="1" x14ac:dyDescent="0.4">
      <c r="A44" s="22"/>
      <c r="B44" s="104" t="s">
        <v>128</v>
      </c>
      <c r="C44" s="104"/>
      <c r="D44" s="104"/>
      <c r="E44" s="23" t="s">
        <v>155</v>
      </c>
      <c r="F44" s="24">
        <v>50</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57" priority="4">
      <formula>LEN(TRIM(B1))=0</formula>
    </cfRule>
  </conditionalFormatting>
  <conditionalFormatting sqref="F4:F44">
    <cfRule type="duplicateValues" dxfId="56" priority="3"/>
  </conditionalFormatting>
  <conditionalFormatting sqref="P4:P43">
    <cfRule type="cellIs" dxfId="55" priority="1" operator="equal">
      <formula>"Wrong"</formula>
    </cfRule>
    <cfRule type="cellIs" dxfId="54" priority="2" operator="equal">
      <formula>"Right"</formula>
    </cfRule>
  </conditionalFormatting>
  <dataValidations count="3">
    <dataValidation type="list" allowBlank="1" showInputMessage="1" sqref="F4:F43" xr:uid="{0C99E966-FB3D-4ED5-A8A6-273BE99C0FA6}">
      <formula1>Confidence_Count</formula1>
    </dataValidation>
    <dataValidation type="list" errorStyle="warning" allowBlank="1" showInputMessage="1" sqref="E4:E43" xr:uid="{7E1E7C0F-E9DC-40AB-9AA1-627587BB1DDB}">
      <formula1>$C4:$D4</formula1>
    </dataValidation>
    <dataValidation type="list" allowBlank="1" showInputMessage="1" showErrorMessage="1" sqref="E44" xr:uid="{47AA674E-55B0-4983-86F2-F303CD67F234}">
      <formula1>"LSU,Ohio State,Clemson,Oklahoma"</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DAB80-70AB-4449-B2D3-4A5EBA373AB0}">
  <sheetPr codeName="Sheet9"/>
  <dimension ref="A1:S44"/>
  <sheetViews>
    <sheetView showGridLines="0" workbookViewId="0">
      <selection sqref="A1:A2"/>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x14ac:dyDescent="0.35">
      <c r="A1" s="105" t="s">
        <v>0</v>
      </c>
      <c r="B1" s="105" t="s">
        <v>159</v>
      </c>
      <c r="F1" s="107" t="s">
        <v>1</v>
      </c>
      <c r="G1" s="105" t="s">
        <v>145</v>
      </c>
      <c r="H1">
        <v>1</v>
      </c>
      <c r="I1" s="1" t="str">
        <f t="shared" ref="I1:I40" si="0">IF(COUNTIF($F$4:$F$43,H1)&gt;=1,"",ROW())</f>
        <v/>
      </c>
      <c r="J1" s="1" t="str" cm="1">
        <f t="array" ref="J1">IF(ROW(G4)-ROW(G$4)+1&gt;COUNT(I$1:I$40),"",INDEX(H:H,SMALL(I$1:I$40,1+ROW(G4)-ROW(G$4))))</f>
        <v/>
      </c>
    </row>
    <row r="2" spans="1:19" ht="15"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cm="1">
        <f t="array" ref="J3">IF(ROW(G6)-ROW(G$4)+1&gt;COUNT(I$1:I$40),"",INDEX(H:H,SMALL(I$1:I$40,1+ROW(G6)-ROW(G$4))))</f>
        <v/>
      </c>
      <c r="P3" t="str">
        <f ca="1">_xlfn.CONCAT(COUNTIF(P4:P43,"Right")&amp;"/"&amp;(COUNTIF(P4:P43,"Right")+COUNTIF(P4:P43,"Wrong")))</f>
        <v>23/40</v>
      </c>
    </row>
    <row r="4" spans="1:19" ht="18" customHeight="1" thickTop="1" x14ac:dyDescent="0.4">
      <c r="A4" s="4">
        <v>43819</v>
      </c>
      <c r="B4" s="5" t="s">
        <v>8</v>
      </c>
      <c r="C4" s="6" t="s">
        <v>9</v>
      </c>
      <c r="D4" s="7" t="s">
        <v>10</v>
      </c>
      <c r="E4" s="8" t="s">
        <v>9</v>
      </c>
      <c r="F4" s="9">
        <v>1</v>
      </c>
      <c r="G4" s="10" t="str" cm="1">
        <f t="array" ref="G4">IF(ROW(G4)-ROW(G$4)+1&gt;COUNT(I$1:I$40),"",INDEX(H:H,SMALL(I$1:I$40,1+ROW(G4)-ROW(G$4))))</f>
        <v/>
      </c>
      <c r="H4">
        <v>4</v>
      </c>
      <c r="I4" s="1" t="str">
        <f t="shared" si="0"/>
        <v/>
      </c>
      <c r="J4" s="1" t="str" cm="1">
        <f t="array" ref="J4">IF(ROW(G7)-ROW(G$4)+1&gt;COUNT(I$1:I$40),"",INDEX(H:H,SMALL(I$1:I$40,1+ROW(G7)-ROW(G$4))))</f>
        <v/>
      </c>
      <c r="N4" s="11"/>
      <c r="P4" t="str">
        <f ca="1">IF(Summary!G5="","",IF(F4=Summary!G5,"Right","Wrong"))</f>
        <v>Right</v>
      </c>
    </row>
    <row r="5" spans="1:19" ht="18" customHeight="1" x14ac:dyDescent="0.4">
      <c r="A5" s="4">
        <v>43819</v>
      </c>
      <c r="B5" s="5" t="s">
        <v>11</v>
      </c>
      <c r="C5" s="12" t="s">
        <v>12</v>
      </c>
      <c r="D5" s="13" t="s">
        <v>13</v>
      </c>
      <c r="E5" s="8" t="s">
        <v>13</v>
      </c>
      <c r="F5" s="9">
        <v>3</v>
      </c>
      <c r="G5" s="10" t="str" cm="1">
        <f t="array" ref="G5">IF(ROW(G5)-ROW(G$4)+1&gt;COUNT(I$1:I$40),"",INDEX(H:H,SMALL(I$1:I$40,1+ROW(G5)-ROW(G$4))))</f>
        <v/>
      </c>
      <c r="H5">
        <v>5</v>
      </c>
      <c r="I5" s="1" t="str">
        <f t="shared" si="0"/>
        <v/>
      </c>
      <c r="J5" s="1" t="str" cm="1">
        <f t="array" ref="J5">IF(ROW(G8)-ROW(G$4)+1&gt;COUNT(I$1:I$40),"",INDEX(H:H,SMALL(I$1:I$40,1+ROW(G8)-ROW(G$4))))</f>
        <v/>
      </c>
      <c r="P5" t="str">
        <f ca="1">IF(Summary!G6="","",IF(F5=Summary!G6,"Right","Wrong"))</f>
        <v>Right</v>
      </c>
    </row>
    <row r="6" spans="1:19" ht="18" customHeight="1" x14ac:dyDescent="0.4">
      <c r="A6" s="4">
        <v>43820</v>
      </c>
      <c r="B6" s="5" t="s">
        <v>14</v>
      </c>
      <c r="C6" s="12" t="s">
        <v>15</v>
      </c>
      <c r="D6" s="13" t="s">
        <v>16</v>
      </c>
      <c r="E6" s="8" t="s">
        <v>16</v>
      </c>
      <c r="F6" s="9">
        <v>2</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IF(Summary!G7="","",IF(F6=Summary!G7,"Right","Wrong"))</f>
        <v>Right</v>
      </c>
    </row>
    <row r="7" spans="1:19" ht="18" customHeight="1" x14ac:dyDescent="0.4">
      <c r="A7" s="4">
        <v>43820</v>
      </c>
      <c r="B7" s="5" t="s">
        <v>17</v>
      </c>
      <c r="C7" s="12" t="s">
        <v>18</v>
      </c>
      <c r="D7" s="13" t="s">
        <v>19</v>
      </c>
      <c r="E7" s="8" t="s">
        <v>19</v>
      </c>
      <c r="F7" s="9">
        <v>8</v>
      </c>
      <c r="G7" s="10" t="str" cm="1">
        <f t="array" ref="G7">IF(ROW(G7)-ROW(G$4)+1&gt;COUNT(I$1:I$40),"",INDEX(H:H,SMALL(I$1:I$40,1+ROW(G7)-ROW(G$4))))</f>
        <v/>
      </c>
      <c r="H7">
        <v>7</v>
      </c>
      <c r="I7" s="1" t="str">
        <f t="shared" si="0"/>
        <v/>
      </c>
      <c r="J7" s="1" t="str" cm="1">
        <f t="array" ref="J7">IF(ROW(G10)-ROW(G$4)+1&gt;COUNT(I$1:I$40),"",INDEX(H:H,SMALL(I$1:I$40,1+ROW(G10)-ROW(G$4))))</f>
        <v/>
      </c>
      <c r="P7" t="str">
        <f ca="1">IF(Summary!G8="","",IF(F7=Summary!G8,"Right","Wrong"))</f>
        <v>Wrong</v>
      </c>
      <c r="R7" s="103"/>
      <c r="S7" s="103"/>
    </row>
    <row r="8" spans="1:19" ht="18" customHeight="1" x14ac:dyDescent="0.4">
      <c r="A8" s="4">
        <v>43820</v>
      </c>
      <c r="B8" s="5" t="s">
        <v>20</v>
      </c>
      <c r="C8" s="12" t="s">
        <v>21</v>
      </c>
      <c r="D8" s="13" t="s">
        <v>22</v>
      </c>
      <c r="E8" s="8" t="s">
        <v>21</v>
      </c>
      <c r="F8" s="9">
        <v>7</v>
      </c>
      <c r="G8" s="10" t="str" cm="1">
        <f t="array" ref="G8">IF(ROW(G8)-ROW(G$4)+1&gt;COUNT(I$1:I$40),"",INDEX(H:H,SMALL(I$1:I$40,1+ROW(G8)-ROW(G$4))))</f>
        <v/>
      </c>
      <c r="H8">
        <v>8</v>
      </c>
      <c r="I8" s="1" t="str">
        <f t="shared" si="0"/>
        <v/>
      </c>
      <c r="J8" s="1" t="str" cm="1">
        <f t="array" ref="J8">IF(ROW(G11)-ROW(G$4)+1&gt;COUNT(I$1:I$40),"",INDEX(H:H,SMALL(I$1:I$40,1+ROW(G11)-ROW(G$4))))</f>
        <v/>
      </c>
      <c r="P8" t="str">
        <f ca="1">IF(Summary!G9="","",IF(F8=Summary!G9,"Right","Wrong"))</f>
        <v>Wrong</v>
      </c>
      <c r="R8" s="103"/>
      <c r="S8" s="103"/>
    </row>
    <row r="9" spans="1:19" ht="18" customHeight="1" x14ac:dyDescent="0.4">
      <c r="A9" s="4">
        <v>43820</v>
      </c>
      <c r="B9" s="5" t="s">
        <v>23</v>
      </c>
      <c r="C9" s="12" t="s">
        <v>24</v>
      </c>
      <c r="D9" s="13" t="s">
        <v>25</v>
      </c>
      <c r="E9" s="8" t="s">
        <v>24</v>
      </c>
      <c r="F9" s="9">
        <v>22</v>
      </c>
      <c r="G9" s="10" t="str" cm="1">
        <f t="array" ref="G9">IF(ROW(G9)-ROW(G$4)+1&gt;COUNT(I$1:I$40),"",INDEX(H:H,SMALL(I$1:I$40,1+ROW(G9)-ROW(G$4))))</f>
        <v/>
      </c>
      <c r="H9">
        <v>9</v>
      </c>
      <c r="I9" s="1" t="str">
        <f t="shared" si="0"/>
        <v/>
      </c>
      <c r="J9" s="1" t="str" cm="1">
        <f t="array" ref="J9">IF(ROW(G12)-ROW(G$4)+1&gt;COUNT(I$1:I$40),"",INDEX(H:H,SMALL(I$1:I$40,1+ROW(G12)-ROW(G$4))))</f>
        <v/>
      </c>
      <c r="P9" t="str">
        <f ca="1">IF(Summary!G10="","",IF(F9=Summary!G10,"Right","Wrong"))</f>
        <v>Wrong</v>
      </c>
    </row>
    <row r="10" spans="1:19" ht="18" customHeight="1" x14ac:dyDescent="0.4">
      <c r="A10" s="4">
        <v>43820</v>
      </c>
      <c r="B10" s="5" t="s">
        <v>26</v>
      </c>
      <c r="C10" s="12" t="s">
        <v>27</v>
      </c>
      <c r="D10" s="13" t="s">
        <v>28</v>
      </c>
      <c r="E10" s="8" t="s">
        <v>27</v>
      </c>
      <c r="F10" s="9">
        <v>5</v>
      </c>
      <c r="G10" s="10" t="str" cm="1">
        <f t="array" ref="G10">IF(ROW(G10)-ROW(G$4)+1&gt;COUNT(I$1:I$40),"",INDEX(H:H,SMALL(I$1:I$40,1+ROW(G10)-ROW(G$4))))</f>
        <v/>
      </c>
      <c r="H10">
        <v>10</v>
      </c>
      <c r="I10" s="1" t="str">
        <f t="shared" si="0"/>
        <v/>
      </c>
      <c r="J10" s="1" t="str" cm="1">
        <f t="array" ref="J10">IF(ROW(G13)-ROW(G$4)+1&gt;COUNT(I$1:I$40),"",INDEX(H:H,SMALL(I$1:I$40,1+ROW(G13)-ROW(G$4))))</f>
        <v/>
      </c>
      <c r="P10" t="str">
        <f ca="1">IF(Summary!G11="","",IF(F10=Summary!G11,"Right","Wrong"))</f>
        <v>Wrong</v>
      </c>
    </row>
    <row r="11" spans="1:19" ht="18" customHeight="1" x14ac:dyDescent="0.4">
      <c r="A11" s="4">
        <v>43820</v>
      </c>
      <c r="B11" s="5" t="s">
        <v>29</v>
      </c>
      <c r="C11" s="12" t="s">
        <v>30</v>
      </c>
      <c r="D11" s="13" t="s">
        <v>31</v>
      </c>
      <c r="E11" s="8" t="s">
        <v>30</v>
      </c>
      <c r="F11" s="9">
        <v>16</v>
      </c>
      <c r="G11" s="10" t="str" cm="1">
        <f t="array" ref="G11">IF(ROW(G11)-ROW(G$4)+1&gt;COUNT(I$1:I$40),"",INDEX(H:H,SMALL(I$1:I$40,1+ROW(G11)-ROW(G$4))))</f>
        <v/>
      </c>
      <c r="H11">
        <v>11</v>
      </c>
      <c r="I11" s="1" t="str">
        <f t="shared" si="0"/>
        <v/>
      </c>
      <c r="J11" s="1" t="str" cm="1">
        <f t="array" ref="J11">IF(ROW(G14)-ROW(G$4)+1&gt;COUNT(I$1:I$40),"",INDEX(H:H,SMALL(I$1:I$40,1+ROW(G14)-ROW(G$4))))</f>
        <v/>
      </c>
      <c r="P11" t="str">
        <f ca="1">IF(Summary!G12="","",IF(F11=Summary!G12,"Right","Wrong"))</f>
        <v>Right</v>
      </c>
    </row>
    <row r="12" spans="1:19" ht="18" customHeight="1" x14ac:dyDescent="0.4">
      <c r="A12" s="4">
        <v>43820</v>
      </c>
      <c r="B12" s="5" t="s">
        <v>32</v>
      </c>
      <c r="C12" s="12" t="s">
        <v>33</v>
      </c>
      <c r="D12" s="13" t="s">
        <v>34</v>
      </c>
      <c r="E12" s="8" t="s">
        <v>33</v>
      </c>
      <c r="F12" s="9">
        <v>37</v>
      </c>
      <c r="G12" s="10" t="str" cm="1">
        <f t="array" ref="G12">IF(ROW(G12)-ROW(G$4)+1&gt;COUNT(I$1:I$40),"",INDEX(H:H,SMALL(I$1:I$40,1+ROW(G12)-ROW(G$4))))</f>
        <v/>
      </c>
      <c r="H12">
        <v>12</v>
      </c>
      <c r="I12" s="1" t="str">
        <f t="shared" si="0"/>
        <v/>
      </c>
      <c r="J12" s="1" t="str" cm="1">
        <f t="array" ref="J12">IF(ROW(G15)-ROW(G$4)+1&gt;COUNT(I$1:I$40),"",INDEX(H:H,SMALL(I$1:I$40,1+ROW(G15)-ROW(G$4))))</f>
        <v/>
      </c>
      <c r="P12" t="str">
        <f ca="1">IF(Summary!G13="","",IF(F12=Summary!G13,"Right","Wrong"))</f>
        <v>Right</v>
      </c>
    </row>
    <row r="13" spans="1:19" ht="18" customHeight="1" x14ac:dyDescent="0.4">
      <c r="A13" s="4">
        <v>43822</v>
      </c>
      <c r="B13" s="5" t="s">
        <v>35</v>
      </c>
      <c r="C13" s="12" t="s">
        <v>36</v>
      </c>
      <c r="D13" s="13" t="s">
        <v>37</v>
      </c>
      <c r="E13" s="8" t="s">
        <v>36</v>
      </c>
      <c r="F13" s="9">
        <v>36</v>
      </c>
      <c r="G13" s="10" t="str" cm="1">
        <f t="array" ref="G13">IF(ROW(G13)-ROW(G$4)+1&gt;COUNT(I$1:I$40),"",INDEX(H:H,SMALL(I$1:I$40,1+ROW(G13)-ROW(G$4))))</f>
        <v/>
      </c>
      <c r="H13">
        <v>13</v>
      </c>
      <c r="I13" s="1" t="str">
        <f t="shared" si="0"/>
        <v/>
      </c>
      <c r="J13" s="1" t="str" cm="1">
        <f t="array" ref="J13">IF(ROW(G16)-ROW(G$4)+1&gt;COUNT(I$1:I$40),"",INDEX(H:H,SMALL(I$1:I$40,1+ROW(G16)-ROW(G$4))))</f>
        <v/>
      </c>
      <c r="P13" t="str">
        <f ca="1">IF(Summary!G14="","",IF(F13=Summary!G14,"Right","Wrong"))</f>
        <v>Right</v>
      </c>
    </row>
    <row r="14" spans="1:19" ht="18" customHeight="1" x14ac:dyDescent="0.4">
      <c r="A14" s="4">
        <v>43823</v>
      </c>
      <c r="B14" s="5" t="s">
        <v>38</v>
      </c>
      <c r="C14" s="12" t="s">
        <v>39</v>
      </c>
      <c r="D14" s="13" t="s">
        <v>40</v>
      </c>
      <c r="E14" s="8" t="s">
        <v>39</v>
      </c>
      <c r="F14" s="9">
        <v>25</v>
      </c>
      <c r="G14" s="10" t="str" cm="1">
        <f t="array" ref="G14">IF(ROW(G14)-ROW(G$4)+1&gt;COUNT(I$1:I$40),"",INDEX(H:H,SMALL(I$1:I$40,1+ROW(G14)-ROW(G$4))))</f>
        <v/>
      </c>
      <c r="H14">
        <v>14</v>
      </c>
      <c r="I14" s="1" t="str">
        <f t="shared" si="0"/>
        <v/>
      </c>
      <c r="J14" s="1" t="str" cm="1">
        <f t="array" ref="J14">IF(ROW(G17)-ROW(G$4)+1&gt;COUNT(I$1:I$40),"",INDEX(H:H,SMALL(I$1:I$40,1+ROW(G17)-ROW(G$4))))</f>
        <v/>
      </c>
      <c r="P14" t="str">
        <f ca="1">IF(Summary!G15="","",IF(F14=Summary!G15,"Right","Wrong"))</f>
        <v>Right</v>
      </c>
    </row>
    <row r="15" spans="1:19" ht="18" customHeight="1" x14ac:dyDescent="0.4">
      <c r="A15" s="4">
        <v>43825</v>
      </c>
      <c r="B15" s="5" t="s">
        <v>41</v>
      </c>
      <c r="C15" s="12" t="s">
        <v>42</v>
      </c>
      <c r="D15" s="13" t="s">
        <v>43</v>
      </c>
      <c r="E15" s="8" t="s">
        <v>42</v>
      </c>
      <c r="F15" s="9">
        <v>32</v>
      </c>
      <c r="G15" s="10" t="str" cm="1">
        <f t="array" ref="G15">IF(ROW(G15)-ROW(G$4)+1&gt;COUNT(I$1:I$40),"",INDEX(H:H,SMALL(I$1:I$40,1+ROW(G15)-ROW(G$4))))</f>
        <v/>
      </c>
      <c r="H15">
        <v>15</v>
      </c>
      <c r="I15" s="1" t="str">
        <f t="shared" si="0"/>
        <v/>
      </c>
      <c r="J15" s="1" t="str" cm="1">
        <f t="array" ref="J15">IF(ROW(G18)-ROW(G$4)+1&gt;COUNT(I$1:I$40),"",INDEX(H:H,SMALL(I$1:I$40,1+ROW(G18)-ROW(G$4))))</f>
        <v/>
      </c>
      <c r="P15" t="str">
        <f ca="1">IF(Summary!G16="","",IF(F15=Summary!G16,"Right","Wrong"))</f>
        <v>Wrong</v>
      </c>
    </row>
    <row r="16" spans="1:19" ht="18" customHeight="1" x14ac:dyDescent="0.4">
      <c r="A16" s="4">
        <v>43825</v>
      </c>
      <c r="B16" s="5" t="s">
        <v>44</v>
      </c>
      <c r="C16" s="12" t="s">
        <v>45</v>
      </c>
      <c r="D16" s="13" t="s">
        <v>46</v>
      </c>
      <c r="E16" s="8" t="s">
        <v>45</v>
      </c>
      <c r="F16" s="9">
        <v>35</v>
      </c>
      <c r="G16" s="10" t="str" cm="1">
        <f t="array" ref="G16">IF(ROW(G16)-ROW(G$4)+1&gt;COUNT(I$1:I$40),"",INDEX(H:H,SMALL(I$1:I$40,1+ROW(G16)-ROW(G$4))))</f>
        <v/>
      </c>
      <c r="H16">
        <v>16</v>
      </c>
      <c r="I16" s="1" t="str">
        <f t="shared" si="0"/>
        <v/>
      </c>
      <c r="J16" s="1" t="str" cm="1">
        <f t="array" ref="J16">IF(ROW(G19)-ROW(G$4)+1&gt;COUNT(I$1:I$40),"",INDEX(H:H,SMALL(I$1:I$40,1+ROW(G19)-ROW(G$4))))</f>
        <v/>
      </c>
      <c r="P16" t="str">
        <f ca="1">IF(Summary!G17="","",IF(F16=Summary!G17,"Right","Wrong"))</f>
        <v>Right</v>
      </c>
    </row>
    <row r="17" spans="1:16" ht="18" customHeight="1" x14ac:dyDescent="0.4">
      <c r="A17" s="4">
        <v>43826</v>
      </c>
      <c r="B17" s="5" t="s">
        <v>47</v>
      </c>
      <c r="C17" s="12" t="s">
        <v>48</v>
      </c>
      <c r="D17" s="13" t="s">
        <v>49</v>
      </c>
      <c r="E17" s="8" t="s">
        <v>49</v>
      </c>
      <c r="F17" s="9">
        <v>10</v>
      </c>
      <c r="G17" s="10" t="str" cm="1">
        <f t="array" ref="G17">IF(ROW(G17)-ROW(G$4)+1&gt;COUNT(I$1:I$40),"",INDEX(H:H,SMALL(I$1:I$40,1+ROW(G17)-ROW(G$4))))</f>
        <v/>
      </c>
      <c r="H17">
        <v>17</v>
      </c>
      <c r="I17" s="1" t="str">
        <f t="shared" si="0"/>
        <v/>
      </c>
      <c r="J17" s="1" t="str" cm="1">
        <f t="array" ref="J17">IF(ROW(G20)-ROW(G$4)+1&gt;COUNT(I$1:I$40),"",INDEX(H:H,SMALL(I$1:I$40,1+ROW(G20)-ROW(G$4))))</f>
        <v/>
      </c>
      <c r="P17" t="str">
        <f ca="1">IF(Summary!G18="","",IF(F17=Summary!G18,"Right","Wrong"))</f>
        <v>Wrong</v>
      </c>
    </row>
    <row r="18" spans="1:16" ht="18" customHeight="1" x14ac:dyDescent="0.4">
      <c r="A18" s="4">
        <v>43826</v>
      </c>
      <c r="B18" s="5" t="s">
        <v>50</v>
      </c>
      <c r="C18" s="12" t="s">
        <v>51</v>
      </c>
      <c r="D18" s="13" t="s">
        <v>52</v>
      </c>
      <c r="E18" s="8" t="s">
        <v>51</v>
      </c>
      <c r="F18" s="9">
        <v>29</v>
      </c>
      <c r="G18" s="10" t="str" cm="1">
        <f t="array" ref="G18">IF(ROW(G18)-ROW(G$4)+1&gt;COUNT(I$1:I$40),"",INDEX(H:H,SMALL(I$1:I$40,1+ROW(G18)-ROW(G$4))))</f>
        <v/>
      </c>
      <c r="H18">
        <v>18</v>
      </c>
      <c r="I18" s="1" t="str">
        <f t="shared" si="0"/>
        <v/>
      </c>
      <c r="J18" s="1" t="str" cm="1">
        <f t="array" ref="J18">IF(ROW(G21)-ROW(G$4)+1&gt;COUNT(I$1:I$40),"",INDEX(H:H,SMALL(I$1:I$40,1+ROW(G21)-ROW(G$4))))</f>
        <v/>
      </c>
      <c r="P18" t="str">
        <f ca="1">IF(Summary!G19="","",IF(F18=Summary!G19,"Right","Wrong"))</f>
        <v>Wrong</v>
      </c>
    </row>
    <row r="19" spans="1:16" ht="18" customHeight="1" x14ac:dyDescent="0.4">
      <c r="A19" s="4">
        <v>43826</v>
      </c>
      <c r="B19" s="5" t="s">
        <v>53</v>
      </c>
      <c r="C19" s="12" t="s">
        <v>54</v>
      </c>
      <c r="D19" s="13" t="s">
        <v>55</v>
      </c>
      <c r="E19" s="8" t="s">
        <v>55</v>
      </c>
      <c r="F19" s="9">
        <v>31</v>
      </c>
      <c r="G19" s="10" t="str" cm="1">
        <f t="array" ref="G19">IF(ROW(G19)-ROW(G$4)+1&gt;COUNT(I$1:I$40),"",INDEX(H:H,SMALL(I$1:I$40,1+ROW(G19)-ROW(G$4))))</f>
        <v/>
      </c>
      <c r="H19">
        <v>19</v>
      </c>
      <c r="I19" s="1" t="str">
        <f t="shared" si="0"/>
        <v/>
      </c>
      <c r="J19" s="1" t="str" cm="1">
        <f t="array" ref="J19">IF(ROW(G22)-ROW(G$4)+1&gt;COUNT(I$1:I$40),"",INDEX(H:H,SMALL(I$1:I$40,1+ROW(G22)-ROW(G$4))))</f>
        <v/>
      </c>
      <c r="P19" t="str">
        <f ca="1">IF(Summary!G20="","",IF(F19=Summary!G20,"Right","Wrong"))</f>
        <v>Right</v>
      </c>
    </row>
    <row r="20" spans="1:16" ht="18" customHeight="1" x14ac:dyDescent="0.4">
      <c r="A20" s="4">
        <v>43826</v>
      </c>
      <c r="B20" s="5" t="s">
        <v>56</v>
      </c>
      <c r="C20" s="12" t="s">
        <v>57</v>
      </c>
      <c r="D20" s="13" t="s">
        <v>58</v>
      </c>
      <c r="E20" s="8" t="s">
        <v>58</v>
      </c>
      <c r="F20" s="9">
        <v>15</v>
      </c>
      <c r="G20" s="10" t="str" cm="1">
        <f t="array" ref="G20">IF(ROW(G20)-ROW(G$4)+1&gt;COUNT(I$1:I$40),"",INDEX(H:H,SMALL(I$1:I$40,1+ROW(G20)-ROW(G$4))))</f>
        <v/>
      </c>
      <c r="H20">
        <v>20</v>
      </c>
      <c r="I20" s="1" t="str">
        <f t="shared" si="0"/>
        <v/>
      </c>
      <c r="J20" s="1" t="str" cm="1">
        <f t="array" ref="J20">IF(ROW(G23)-ROW(G$4)+1&gt;COUNT(I$1:I$40),"",INDEX(H:H,SMALL(I$1:I$40,1+ROW(G23)-ROW(G$4))))</f>
        <v/>
      </c>
      <c r="P20" t="str">
        <f ca="1">IF(Summary!G21="","",IF(F20=Summary!G21,"Right","Wrong"))</f>
        <v>Right</v>
      </c>
    </row>
    <row r="21" spans="1:16" ht="18" customHeight="1" x14ac:dyDescent="0.4">
      <c r="A21" s="4">
        <v>43826</v>
      </c>
      <c r="B21" s="5" t="s">
        <v>59</v>
      </c>
      <c r="C21" s="12" t="s">
        <v>60</v>
      </c>
      <c r="D21" s="13" t="s">
        <v>61</v>
      </c>
      <c r="E21" s="8" t="s">
        <v>61</v>
      </c>
      <c r="F21" s="9">
        <v>17</v>
      </c>
      <c r="G21" s="10" t="str" cm="1">
        <f t="array" ref="G21">IF(ROW(G21)-ROW(G$4)+1&gt;COUNT(I$1:I$40),"",INDEX(H:H,SMALL(I$1:I$40,1+ROW(G21)-ROW(G$4))))</f>
        <v/>
      </c>
      <c r="H21">
        <v>21</v>
      </c>
      <c r="I21" s="1" t="str">
        <f t="shared" si="0"/>
        <v/>
      </c>
      <c r="J21" s="1" t="str" cm="1">
        <f t="array" ref="J21">IF(ROW(G24)-ROW(G$4)+1&gt;COUNT(I$1:I$40),"",INDEX(H:H,SMALL(I$1:I$40,1+ROW(G24)-ROW(G$4))))</f>
        <v/>
      </c>
      <c r="P21" t="str">
        <f ca="1">IF(Summary!G22="","",IF(F21=Summary!G22,"Right","Wrong"))</f>
        <v>Wrong</v>
      </c>
    </row>
    <row r="22" spans="1:16" ht="18" customHeight="1" x14ac:dyDescent="0.4">
      <c r="A22" s="4">
        <v>43827</v>
      </c>
      <c r="B22" s="5" t="s">
        <v>62</v>
      </c>
      <c r="C22" s="12" t="s">
        <v>63</v>
      </c>
      <c r="D22" s="13" t="s">
        <v>64</v>
      </c>
      <c r="E22" s="8" t="s">
        <v>63</v>
      </c>
      <c r="F22" s="9">
        <v>38</v>
      </c>
      <c r="G22" s="10" t="str" cm="1">
        <f t="array" ref="G22">IF(ROW(G22)-ROW(G$4)+1&gt;COUNT(I$1:I$40),"",INDEX(H:H,SMALL(I$1:I$40,1+ROW(G22)-ROW(G$4))))</f>
        <v/>
      </c>
      <c r="H22">
        <v>22</v>
      </c>
      <c r="I22" s="1" t="str">
        <f t="shared" si="0"/>
        <v/>
      </c>
      <c r="J22" s="1" t="str" cm="1">
        <f t="array" ref="J22">IF(ROW(G25)-ROW(G$4)+1&gt;COUNT(I$1:I$40),"",INDEX(H:H,SMALL(I$1:I$40,1+ROW(G25)-ROW(G$4))))</f>
        <v/>
      </c>
      <c r="P22" t="str">
        <f ca="1">IF(Summary!G23="","",IF(F22=Summary!G23,"Right","Wrong"))</f>
        <v>Right</v>
      </c>
    </row>
    <row r="23" spans="1:16" ht="18" customHeight="1" x14ac:dyDescent="0.4">
      <c r="A23" s="4">
        <v>43827</v>
      </c>
      <c r="B23" s="5" t="s">
        <v>65</v>
      </c>
      <c r="C23" s="12" t="s">
        <v>66</v>
      </c>
      <c r="D23" s="13" t="s">
        <v>67</v>
      </c>
      <c r="E23" s="8" t="s">
        <v>66</v>
      </c>
      <c r="F23" s="9">
        <v>40</v>
      </c>
      <c r="G23" s="10" t="str" cm="1">
        <f t="array" ref="G23">IF(ROW(G23)-ROW(G$4)+1&gt;COUNT(I$1:I$40),"",INDEX(H:H,SMALL(I$1:I$40,1+ROW(G23)-ROW(G$4))))</f>
        <v/>
      </c>
      <c r="H23">
        <v>23</v>
      </c>
      <c r="I23" s="1" t="str">
        <f t="shared" si="0"/>
        <v/>
      </c>
      <c r="J23" s="1" t="str" cm="1">
        <f t="array" ref="J23">IF(ROW(G26)-ROW(G$4)+1&gt;COUNT(I$1:I$40),"",INDEX(H:H,SMALL(I$1:I$40,1+ROW(G26)-ROW(G$4))))</f>
        <v/>
      </c>
      <c r="P23" t="str">
        <f ca="1">IF(Summary!G24="","",IF(F23=Summary!G24,"Right","Wrong"))</f>
        <v>Right</v>
      </c>
    </row>
    <row r="24" spans="1:16" ht="18" customHeight="1" x14ac:dyDescent="0.4">
      <c r="A24" s="4">
        <v>43827</v>
      </c>
      <c r="B24" s="5" t="s">
        <v>68</v>
      </c>
      <c r="C24" s="12" t="s">
        <v>69</v>
      </c>
      <c r="D24" s="13" t="s">
        <v>70</v>
      </c>
      <c r="E24" s="8" t="s">
        <v>69</v>
      </c>
      <c r="F24" s="9">
        <v>30</v>
      </c>
      <c r="G24" s="10" t="str" cm="1">
        <f t="array" ref="G24">IF(ROW(G24)-ROW(G$4)+1&gt;COUNT(I$1:I$40),"",INDEX(H:H,SMALL(I$1:I$40,1+ROW(G24)-ROW(G$4))))</f>
        <v/>
      </c>
      <c r="H24">
        <v>24</v>
      </c>
      <c r="I24" s="1" t="str">
        <f t="shared" si="0"/>
        <v/>
      </c>
      <c r="J24" s="1" t="str" cm="1">
        <f t="array" ref="J24">IF(ROW(G27)-ROW(G$4)+1&gt;COUNT(I$1:I$40),"",INDEX(H:H,SMALL(I$1:I$40,1+ROW(G27)-ROW(G$4))))</f>
        <v/>
      </c>
      <c r="P24" t="str">
        <f ca="1">IF(Summary!G25="","",IF(F24=Summary!G25,"Right","Wrong"))</f>
        <v>Right</v>
      </c>
    </row>
    <row r="25" spans="1:16" ht="18" customHeight="1" x14ac:dyDescent="0.4">
      <c r="A25" s="4">
        <v>43827</v>
      </c>
      <c r="B25" s="5" t="s">
        <v>71</v>
      </c>
      <c r="C25" s="12" t="s">
        <v>72</v>
      </c>
      <c r="D25" s="13" t="s">
        <v>73</v>
      </c>
      <c r="E25" s="8" t="s">
        <v>73</v>
      </c>
      <c r="F25" s="9">
        <v>33</v>
      </c>
      <c r="G25" s="10" t="str" cm="1">
        <f t="array" ref="G25">IF(ROW(G25)-ROW(G$4)+1&gt;COUNT(I$1:I$40),"",INDEX(H:H,SMALL(I$1:I$40,1+ROW(G25)-ROW(G$4))))</f>
        <v/>
      </c>
      <c r="H25">
        <v>25</v>
      </c>
      <c r="I25" s="1" t="str">
        <f t="shared" si="0"/>
        <v/>
      </c>
      <c r="J25" s="1" t="str" cm="1">
        <f t="array" ref="J25">IF(ROW(G28)-ROW(G$4)+1&gt;COUNT(I$1:I$40),"",INDEX(H:H,SMALL(I$1:I$40,1+ROW(G28)-ROW(G$4))))</f>
        <v/>
      </c>
      <c r="P25" t="str">
        <f ca="1">IF(Summary!G26="","",IF(F25=Summary!G26,"Right","Wrong"))</f>
        <v>Right</v>
      </c>
    </row>
    <row r="26" spans="1:16" ht="18" customHeight="1" x14ac:dyDescent="0.4">
      <c r="A26" s="4">
        <v>43829</v>
      </c>
      <c r="B26" s="5" t="s">
        <v>74</v>
      </c>
      <c r="C26" s="12" t="s">
        <v>75</v>
      </c>
      <c r="D26" s="13" t="s">
        <v>76</v>
      </c>
      <c r="E26" s="8" t="s">
        <v>76</v>
      </c>
      <c r="F26" s="9">
        <v>4</v>
      </c>
      <c r="G26" s="10" t="str" cm="1">
        <f t="array" ref="G26">IF(ROW(G26)-ROW(G$4)+1&gt;COUNT(I$1:I$40),"",INDEX(H:H,SMALL(I$1:I$40,1+ROW(G26)-ROW(G$4))))</f>
        <v/>
      </c>
      <c r="H26">
        <v>26</v>
      </c>
      <c r="I26" s="1" t="str">
        <f t="shared" si="0"/>
        <v/>
      </c>
      <c r="J26" s="1" t="str" cm="1">
        <f t="array" ref="J26">IF(ROW(G29)-ROW(G$4)+1&gt;COUNT(I$1:I$40),"",INDEX(H:H,SMALL(I$1:I$40,1+ROW(G29)-ROW(G$4))))</f>
        <v/>
      </c>
      <c r="P26" t="str">
        <f ca="1">IF(Summary!G27="","",IF(F26=Summary!G27,"Right","Wrong"))</f>
        <v>Wrong</v>
      </c>
    </row>
    <row r="27" spans="1:16" ht="18" customHeight="1" x14ac:dyDescent="0.4">
      <c r="A27" s="4">
        <v>43829</v>
      </c>
      <c r="B27" s="5" t="s">
        <v>77</v>
      </c>
      <c r="C27" s="12" t="s">
        <v>78</v>
      </c>
      <c r="D27" s="13" t="s">
        <v>148</v>
      </c>
      <c r="E27" s="8" t="s">
        <v>78</v>
      </c>
      <c r="F27" s="9">
        <v>9</v>
      </c>
      <c r="G27" s="10" t="str" cm="1">
        <f t="array" ref="G27">IF(ROW(G27)-ROW(G$4)+1&gt;COUNT(I$1:I$40),"",INDEX(H:H,SMALL(I$1:I$40,1+ROW(G27)-ROW(G$4))))</f>
        <v/>
      </c>
      <c r="H27">
        <v>27</v>
      </c>
      <c r="I27" s="1" t="str">
        <f t="shared" si="0"/>
        <v/>
      </c>
      <c r="J27" s="1" t="str" cm="1">
        <f t="array" ref="J27">IF(ROW(G30)-ROW(G$4)+1&gt;COUNT(I$1:I$40),"",INDEX(H:H,SMALL(I$1:I$40,1+ROW(G30)-ROW(G$4))))</f>
        <v/>
      </c>
      <c r="P27" t="str">
        <f ca="1">IF(Summary!G28="","",IF(F27=Summary!G28,"Right","Wrong"))</f>
        <v>Wrong</v>
      </c>
    </row>
    <row r="28" spans="1:16" ht="18" customHeight="1" x14ac:dyDescent="0.4">
      <c r="A28" s="4">
        <v>43829</v>
      </c>
      <c r="B28" s="5" t="s">
        <v>80</v>
      </c>
      <c r="C28" s="12" t="s">
        <v>81</v>
      </c>
      <c r="D28" s="13" t="s">
        <v>82</v>
      </c>
      <c r="E28" s="8" t="s">
        <v>82</v>
      </c>
      <c r="F28" s="9">
        <v>19</v>
      </c>
      <c r="G28" s="10" t="str" cm="1">
        <f t="array" ref="G28">IF(ROW(G28)-ROW(G$4)+1&gt;COUNT(I$1:I$40),"",INDEX(H:H,SMALL(I$1:I$40,1+ROW(G28)-ROW(G$4))))</f>
        <v/>
      </c>
      <c r="H28">
        <v>28</v>
      </c>
      <c r="I28" s="1" t="str">
        <f t="shared" si="0"/>
        <v/>
      </c>
      <c r="J28" s="1" t="str" cm="1">
        <f t="array" ref="J28">IF(ROW(G31)-ROW(G$4)+1&gt;COUNT(I$1:I$40),"",INDEX(H:H,SMALL(I$1:I$40,1+ROW(G31)-ROW(G$4))))</f>
        <v/>
      </c>
      <c r="P28" t="str">
        <f ca="1">IF(Summary!G29="","",IF(F28=Summary!G29,"Right","Wrong"))</f>
        <v>Right</v>
      </c>
    </row>
    <row r="29" spans="1:16" ht="18" customHeight="1" x14ac:dyDescent="0.4">
      <c r="A29" s="4">
        <v>43829</v>
      </c>
      <c r="B29" s="5" t="s">
        <v>83</v>
      </c>
      <c r="C29" s="12" t="s">
        <v>84</v>
      </c>
      <c r="D29" s="13" t="s">
        <v>85</v>
      </c>
      <c r="E29" s="8" t="s">
        <v>84</v>
      </c>
      <c r="F29" s="9">
        <v>14</v>
      </c>
      <c r="G29" s="10" t="str" cm="1">
        <f t="array" ref="G29">IF(ROW(G29)-ROW(G$4)+1&gt;COUNT(I$1:I$40),"",INDEX(H:H,SMALL(I$1:I$40,1+ROW(G29)-ROW(G$4))))</f>
        <v/>
      </c>
      <c r="H29">
        <v>29</v>
      </c>
      <c r="I29" s="1" t="str">
        <f t="shared" si="0"/>
        <v/>
      </c>
      <c r="J29" s="1" t="str" cm="1">
        <f t="array" ref="J29">IF(ROW(G32)-ROW(G$4)+1&gt;COUNT(I$1:I$40),"",INDEX(H:H,SMALL(I$1:I$40,1+ROW(G32)-ROW(G$4))))</f>
        <v/>
      </c>
      <c r="P29" t="str">
        <f ca="1">IF(Summary!G30="","",IF(F29=Summary!G30,"Right","Wrong"))</f>
        <v>Right</v>
      </c>
    </row>
    <row r="30" spans="1:16" ht="18" customHeight="1" x14ac:dyDescent="0.4">
      <c r="A30" s="4">
        <v>43830</v>
      </c>
      <c r="B30" s="5" t="s">
        <v>86</v>
      </c>
      <c r="C30" s="12" t="s">
        <v>87</v>
      </c>
      <c r="D30" s="13" t="s">
        <v>88</v>
      </c>
      <c r="E30" s="8" t="s">
        <v>88</v>
      </c>
      <c r="F30" s="9">
        <v>12</v>
      </c>
      <c r="G30" s="10" t="str" cm="1">
        <f t="array" ref="G30">IF(ROW(G30)-ROW(G$4)+1&gt;COUNT(I$1:I$40),"",INDEX(H:H,SMALL(I$1:I$40,1+ROW(G30)-ROW(G$4))))</f>
        <v/>
      </c>
      <c r="H30">
        <v>30</v>
      </c>
      <c r="I30" s="1" t="str">
        <f t="shared" si="0"/>
        <v/>
      </c>
      <c r="J30" s="1" t="str" cm="1">
        <f t="array" ref="J30">IF(ROW(G33)-ROW(G$4)+1&gt;COUNT(I$1:I$40),"",INDEX(H:H,SMALL(I$1:I$40,1+ROW(G33)-ROW(G$4))))</f>
        <v/>
      </c>
      <c r="P30" t="str">
        <f ca="1">IF(Summary!G31="","",IF(F30=Summary!G31,"Right","Wrong"))</f>
        <v>Wrong</v>
      </c>
    </row>
    <row r="31" spans="1:16" ht="18" customHeight="1" x14ac:dyDescent="0.4">
      <c r="A31" s="4">
        <v>43830</v>
      </c>
      <c r="B31" s="5" t="s">
        <v>89</v>
      </c>
      <c r="C31" s="12" t="s">
        <v>90</v>
      </c>
      <c r="D31" s="13" t="s">
        <v>91</v>
      </c>
      <c r="E31" s="8" t="s">
        <v>90</v>
      </c>
      <c r="F31" s="9">
        <v>13</v>
      </c>
      <c r="G31" s="10" t="str" cm="1">
        <f t="array" ref="G31">IF(ROW(G31)-ROW(G$4)+1&gt;COUNT(I$1:I$40),"",INDEX(H:H,SMALL(I$1:I$40,1+ROW(G31)-ROW(G$4))))</f>
        <v/>
      </c>
      <c r="H31">
        <v>31</v>
      </c>
      <c r="I31" s="1" t="str">
        <f t="shared" si="0"/>
        <v/>
      </c>
      <c r="J31" s="1" t="str" cm="1">
        <f t="array" ref="J31">IF(ROW(G34)-ROW(G$4)+1&gt;COUNT(I$1:I$40),"",INDEX(H:H,SMALL(I$1:I$40,1+ROW(G34)-ROW(G$4))))</f>
        <v/>
      </c>
      <c r="P31" t="str">
        <f ca="1">IF(Summary!G32="","",IF(F31=Summary!G32,"Right","Wrong"))</f>
        <v>Wrong</v>
      </c>
    </row>
    <row r="32" spans="1:16" ht="18" customHeight="1" x14ac:dyDescent="0.4">
      <c r="A32" s="4">
        <v>43830</v>
      </c>
      <c r="B32" s="5" t="s">
        <v>92</v>
      </c>
      <c r="C32" s="12" t="s">
        <v>93</v>
      </c>
      <c r="D32" s="13" t="s">
        <v>94</v>
      </c>
      <c r="E32" s="8" t="s">
        <v>93</v>
      </c>
      <c r="F32" s="9">
        <v>28</v>
      </c>
      <c r="G32" s="10" t="str" cm="1">
        <f t="array" ref="G32">IF(ROW(G32)-ROW(G$4)+1&gt;COUNT(I$1:I$40),"",INDEX(H:H,SMALL(I$1:I$40,1+ROW(G32)-ROW(G$4))))</f>
        <v/>
      </c>
      <c r="H32">
        <v>32</v>
      </c>
      <c r="I32" s="1" t="str">
        <f t="shared" si="0"/>
        <v/>
      </c>
      <c r="J32" s="1" t="str" cm="1">
        <f t="array" ref="J32">IF(ROW(G35)-ROW(G$4)+1&gt;COUNT(I$1:I$40),"",INDEX(H:H,SMALL(I$1:I$40,1+ROW(G35)-ROW(G$4))))</f>
        <v/>
      </c>
      <c r="P32" t="str">
        <f ca="1">IF(Summary!G33="","",IF(F32=Summary!G33,"Right","Wrong"))</f>
        <v>Right</v>
      </c>
    </row>
    <row r="33" spans="1:16" ht="18" customHeight="1" x14ac:dyDescent="0.4">
      <c r="A33" s="4">
        <v>43830</v>
      </c>
      <c r="B33" s="5" t="s">
        <v>95</v>
      </c>
      <c r="C33" s="12" t="s">
        <v>96</v>
      </c>
      <c r="D33" s="13" t="s">
        <v>97</v>
      </c>
      <c r="E33" s="8" t="s">
        <v>96</v>
      </c>
      <c r="F33" s="9">
        <v>11</v>
      </c>
      <c r="G33" s="10" t="str" cm="1">
        <f t="array" ref="G33">IF(ROW(G33)-ROW(G$4)+1&gt;COUNT(I$1:I$40),"",INDEX(H:H,SMALL(I$1:I$40,1+ROW(G33)-ROW(G$4))))</f>
        <v/>
      </c>
      <c r="H33">
        <v>33</v>
      </c>
      <c r="I33" s="1" t="str">
        <f t="shared" si="0"/>
        <v/>
      </c>
      <c r="J33" s="1" t="str" cm="1">
        <f t="array" ref="J33">IF(ROW(G36)-ROW(G$4)+1&gt;COUNT(I$1:I$40),"",INDEX(H:H,SMALL(I$1:I$40,1+ROW(G36)-ROW(G$4))))</f>
        <v/>
      </c>
      <c r="P33" t="str">
        <f ca="1">IF(Summary!G34="","",IF(F33=Summary!G34,"Right","Wrong"))</f>
        <v>Wrong</v>
      </c>
    </row>
    <row r="34" spans="1:16" ht="18" customHeight="1" x14ac:dyDescent="0.4">
      <c r="A34" s="4">
        <v>43830</v>
      </c>
      <c r="B34" s="5" t="s">
        <v>98</v>
      </c>
      <c r="C34" s="12" t="s">
        <v>99</v>
      </c>
      <c r="D34" s="13" t="s">
        <v>100</v>
      </c>
      <c r="E34" s="8" t="s">
        <v>100</v>
      </c>
      <c r="F34" s="9">
        <v>26</v>
      </c>
      <c r="G34" s="10" t="str" cm="1">
        <f t="array" ref="G34">IF(ROW(G34)-ROW(G$4)+1&gt;COUNT(I$1:I$40),"",INDEX(H:H,SMALL(I$1:I$40,1+ROW(G34)-ROW(G$4))))</f>
        <v/>
      </c>
      <c r="H34">
        <v>34</v>
      </c>
      <c r="I34" s="1" t="str">
        <f t="shared" si="0"/>
        <v/>
      </c>
      <c r="J34" s="1" t="str" cm="1">
        <f t="array" ref="J34">IF(ROW(G37)-ROW(G$4)+1&gt;COUNT(I$1:I$40),"",INDEX(H:H,SMALL(I$1:I$40,1+ROW(G37)-ROW(G$4))))</f>
        <v/>
      </c>
      <c r="P34" t="str">
        <f ca="1">IF(Summary!G35="","",IF(F34=Summary!G35,"Right","Wrong"))</f>
        <v>Right</v>
      </c>
    </row>
    <row r="35" spans="1:16" ht="18" customHeight="1" x14ac:dyDescent="0.4">
      <c r="A35" s="4">
        <v>43466</v>
      </c>
      <c r="B35" s="5" t="s">
        <v>101</v>
      </c>
      <c r="C35" s="12" t="s">
        <v>102</v>
      </c>
      <c r="D35" s="13" t="s">
        <v>103</v>
      </c>
      <c r="E35" s="8" t="s">
        <v>103</v>
      </c>
      <c r="F35" s="9">
        <v>18</v>
      </c>
      <c r="G35" s="10" t="str" cm="1">
        <f t="array" ref="G35">IF(ROW(G35)-ROW(G$4)+1&gt;COUNT(I$1:I$40),"",INDEX(H:H,SMALL(I$1:I$40,1+ROW(G35)-ROW(G$4))))</f>
        <v/>
      </c>
      <c r="H35">
        <v>35</v>
      </c>
      <c r="I35" s="1" t="str">
        <f t="shared" si="0"/>
        <v/>
      </c>
      <c r="J35" s="1" t="str" cm="1">
        <f t="array" ref="J35">IF(ROW(G38)-ROW(G$4)+1&gt;COUNT(I$1:I$40),"",INDEX(H:H,SMALL(I$1:I$40,1+ROW(G38)-ROW(G$4))))</f>
        <v/>
      </c>
      <c r="P35" t="str">
        <f ca="1">IF(Summary!G36="","",IF(F35=Summary!G36,"Right","Wrong"))</f>
        <v>Wrong</v>
      </c>
    </row>
    <row r="36" spans="1:16" ht="18" customHeight="1" x14ac:dyDescent="0.4">
      <c r="A36" s="4">
        <v>43466</v>
      </c>
      <c r="B36" s="5" t="s">
        <v>104</v>
      </c>
      <c r="C36" s="12" t="s">
        <v>105</v>
      </c>
      <c r="D36" s="13" t="s">
        <v>106</v>
      </c>
      <c r="E36" s="8" t="s">
        <v>105</v>
      </c>
      <c r="F36" s="9">
        <v>39</v>
      </c>
      <c r="G36" s="10" t="str" cm="1">
        <f t="array" ref="G36">IF(ROW(G36)-ROW(G$4)+1&gt;COUNT(I$1:I$40),"",INDEX(H:H,SMALL(I$1:I$40,1+ROW(G36)-ROW(G$4))))</f>
        <v/>
      </c>
      <c r="H36">
        <v>36</v>
      </c>
      <c r="I36" s="1" t="str">
        <f t="shared" si="0"/>
        <v/>
      </c>
      <c r="J36" s="1" t="str" cm="1">
        <f t="array" ref="J36">IF(ROW(G39)-ROW(G$4)+1&gt;COUNT(I$1:I$40),"",INDEX(H:H,SMALL(I$1:I$40,1+ROW(G39)-ROW(G$4))))</f>
        <v/>
      </c>
      <c r="P36" t="str">
        <f ca="1">IF(Summary!G37="","",IF(F36=Summary!G37,"Right","Wrong"))</f>
        <v>Wrong</v>
      </c>
    </row>
    <row r="37" spans="1:16" ht="18" customHeight="1" x14ac:dyDescent="0.4">
      <c r="A37" s="4">
        <v>43466</v>
      </c>
      <c r="B37" s="5" t="s">
        <v>107</v>
      </c>
      <c r="C37" s="12" t="s">
        <v>108</v>
      </c>
      <c r="D37" s="13" t="s">
        <v>109</v>
      </c>
      <c r="E37" s="8" t="s">
        <v>109</v>
      </c>
      <c r="F37" s="9">
        <v>27</v>
      </c>
      <c r="G37" s="10" t="str" cm="1">
        <f t="array" ref="G37">IF(ROW(G37)-ROW(G$4)+1&gt;COUNT(I$1:I$40),"",INDEX(H:H,SMALL(I$1:I$40,1+ROW(G37)-ROW(G$4))))</f>
        <v/>
      </c>
      <c r="H37">
        <v>37</v>
      </c>
      <c r="I37" s="1" t="str">
        <f t="shared" si="0"/>
        <v/>
      </c>
      <c r="J37" s="1" t="str" cm="1">
        <f t="array" ref="J37">IF(ROW(G40)-ROW(G$4)+1&gt;COUNT(I$1:I$40),"",INDEX(H:H,SMALL(I$1:I$40,1+ROW(G40)-ROW(G$4))))</f>
        <v/>
      </c>
      <c r="P37" t="str">
        <f ca="1">IF(Summary!G38="","",IF(F37=Summary!G38,"Right","Wrong"))</f>
        <v>Wrong</v>
      </c>
    </row>
    <row r="38" spans="1:16" ht="18" customHeight="1" x14ac:dyDescent="0.4">
      <c r="A38" s="4">
        <v>43466</v>
      </c>
      <c r="B38" s="5" t="s">
        <v>110</v>
      </c>
      <c r="C38" s="12" t="s">
        <v>111</v>
      </c>
      <c r="D38" s="13" t="s">
        <v>112</v>
      </c>
      <c r="E38" s="8" t="s">
        <v>111</v>
      </c>
      <c r="F38" s="9">
        <v>34</v>
      </c>
      <c r="G38" s="10" t="str" cm="1">
        <f t="array" ref="G38">IF(ROW(G38)-ROW(G$4)+1&gt;COUNT(I$1:I$40),"",INDEX(H:H,SMALL(I$1:I$40,1+ROW(G38)-ROW(G$4))))</f>
        <v/>
      </c>
      <c r="H38">
        <v>38</v>
      </c>
      <c r="I38" s="1" t="str">
        <f t="shared" si="0"/>
        <v/>
      </c>
      <c r="J38" s="1" t="str" cm="1">
        <f t="array" ref="J38">IF(ROW(G41)-ROW(G$4)+1&gt;COUNT(I$1:I$40),"",INDEX(H:H,SMALL(I$1:I$40,1+ROW(G41)-ROW(G$4))))</f>
        <v/>
      </c>
      <c r="P38" t="str">
        <f ca="1">IF(Summary!G39="","",IF(F38=Summary!G39,"Right","Wrong"))</f>
        <v>Right</v>
      </c>
    </row>
    <row r="39" spans="1:16" ht="18" customHeight="1" x14ac:dyDescent="0.4">
      <c r="A39" s="4">
        <v>43467</v>
      </c>
      <c r="B39" s="5" t="s">
        <v>113</v>
      </c>
      <c r="C39" s="12" t="s">
        <v>114</v>
      </c>
      <c r="D39" s="13" t="s">
        <v>115</v>
      </c>
      <c r="E39" s="8" t="s">
        <v>115</v>
      </c>
      <c r="F39" s="9">
        <v>21</v>
      </c>
      <c r="G39" s="10" t="str" cm="1">
        <f t="array" ref="G39">IF(ROW(G39)-ROW(G$4)+1&gt;COUNT(I$1:I$40),"",INDEX(H:H,SMALL(I$1:I$40,1+ROW(G39)-ROW(G$4))))</f>
        <v/>
      </c>
      <c r="H39">
        <v>39</v>
      </c>
      <c r="I39" s="1" t="str">
        <f t="shared" si="0"/>
        <v/>
      </c>
      <c r="J39" s="1" t="str" cm="1">
        <f t="array" ref="J39">IF(ROW(G42)-ROW(G$4)+1&gt;COUNT(I$1:I$40),"",INDEX(H:H,SMALL(I$1:I$40,1+ROW(G42)-ROW(G$4))))</f>
        <v/>
      </c>
      <c r="P39" t="str">
        <f ca="1">IF(Summary!G40="","",IF(F39=Summary!G40,"Right","Wrong"))</f>
        <v>Right</v>
      </c>
    </row>
    <row r="40" spans="1:16" ht="18" customHeight="1" x14ac:dyDescent="0.4">
      <c r="A40" s="4">
        <v>43467</v>
      </c>
      <c r="B40" s="5" t="s">
        <v>116</v>
      </c>
      <c r="C40" s="12" t="s">
        <v>117</v>
      </c>
      <c r="D40" s="13" t="s">
        <v>118</v>
      </c>
      <c r="E40" s="8" t="s">
        <v>117</v>
      </c>
      <c r="F40" s="9">
        <v>23</v>
      </c>
      <c r="G40" s="10" t="str" cm="1">
        <f t="array" ref="G40">IF(ROW(G40)-ROW(G$4)+1&gt;COUNT(I$1:I$40),"",INDEX(H:H,SMALL(I$1:I$40,1+ROW(G40)-ROW(G$4))))</f>
        <v/>
      </c>
      <c r="H40">
        <v>40</v>
      </c>
      <c r="I40" s="1" t="str">
        <f t="shared" si="0"/>
        <v/>
      </c>
      <c r="J40" s="1" t="str" cm="1">
        <f t="array" ref="J40">IF(ROW(G43)-ROW(G$4)+1&gt;COUNT(I$1:I$40),"",INDEX(H:H,SMALL(I$1:I$40,1+ROW(G43)-ROW(G$4))))</f>
        <v/>
      </c>
      <c r="P40" t="str">
        <f ca="1">IF(Summary!G41="","",IF(F40=Summary!G41,"Right","Wrong"))</f>
        <v>Right</v>
      </c>
    </row>
    <row r="41" spans="1:16" ht="18" customHeight="1" x14ac:dyDescent="0.4">
      <c r="A41" s="4">
        <v>43468</v>
      </c>
      <c r="B41" s="5" t="s">
        <v>119</v>
      </c>
      <c r="C41" s="12" t="s">
        <v>120</v>
      </c>
      <c r="D41" s="13" t="s">
        <v>121</v>
      </c>
      <c r="E41" s="8" t="s">
        <v>120</v>
      </c>
      <c r="F41" s="9">
        <v>20</v>
      </c>
      <c r="G41" s="10" t="str" cm="1">
        <f t="array" ref="G41">IF(ROW(G41)-ROW(G$4)+1&gt;COUNT(I$1:I$40),"",INDEX(H:H,SMALL(I$1:I$40,1+ROW(G41)-ROW(G$4))))</f>
        <v/>
      </c>
      <c r="I41" s="1"/>
      <c r="J41" s="1" t="str" cm="1">
        <f t="array" ref="J41">IF(ROW(G44)-ROW(G$4)+1&gt;COUNT(I$1:I$40),"",INDEX(H:H,SMALL(I$1:I$40,1+ROW(G44)-ROW(G$4))))</f>
        <v/>
      </c>
      <c r="P41" t="str">
        <f ca="1">IF(Summary!G42="","",IF(F41=Summary!G42,"Right","Wrong"))</f>
        <v>Right</v>
      </c>
    </row>
    <row r="42" spans="1:16" ht="18" customHeight="1" x14ac:dyDescent="0.4">
      <c r="A42" s="4">
        <v>43469</v>
      </c>
      <c r="B42" s="5" t="s">
        <v>122</v>
      </c>
      <c r="C42" s="12" t="s">
        <v>123</v>
      </c>
      <c r="D42" s="13" t="s">
        <v>124</v>
      </c>
      <c r="E42" s="8" t="s">
        <v>123</v>
      </c>
      <c r="F42" s="9">
        <v>24</v>
      </c>
      <c r="G42" s="10" t="str" cm="1">
        <f t="array" ref="G42">IF(ROW(G42)-ROW(G$4)+1&gt;COUNT(I$1:I$40),"",INDEX(H:H,SMALL(I$1:I$40,1+ROW(G42)-ROW(G$4))))</f>
        <v/>
      </c>
      <c r="H42" s="14"/>
      <c r="P42" t="str">
        <f ca="1">IF(Summary!G43="","",IF(F42=Summary!G43,"Right","Wrong"))</f>
        <v>Right</v>
      </c>
    </row>
    <row r="43" spans="1:16" ht="18" customHeight="1" thickBot="1" x14ac:dyDescent="0.45">
      <c r="A43" s="15">
        <v>43471</v>
      </c>
      <c r="B43" s="16" t="s">
        <v>125</v>
      </c>
      <c r="C43" s="17" t="s">
        <v>126</v>
      </c>
      <c r="D43" s="18" t="s">
        <v>127</v>
      </c>
      <c r="E43" s="19" t="s">
        <v>127</v>
      </c>
      <c r="F43" s="20">
        <v>6</v>
      </c>
      <c r="G43" s="21" t="str" cm="1">
        <f t="array" ref="G43">IF(ROW(G43)-ROW(G$4)+1&gt;COUNT(I$1:I$40),"",INDEX(H:H,SMALL(I$1:I$40,1+ROW(G43)-ROW(G$4))))</f>
        <v/>
      </c>
      <c r="H43" s="14"/>
      <c r="P43" t="str">
        <f ca="1">IF(Summary!G44="","",IF(F43=Summary!G44,"Right","Wrong"))</f>
        <v>Wrong</v>
      </c>
    </row>
    <row r="44" spans="1:16" ht="18" customHeight="1" x14ac:dyDescent="0.4">
      <c r="A44" s="22"/>
      <c r="B44" s="104" t="s">
        <v>128</v>
      </c>
      <c r="C44" s="104"/>
      <c r="D44" s="104"/>
      <c r="E44" s="23" t="s">
        <v>155</v>
      </c>
      <c r="F44" s="24">
        <v>63</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B1 E4:F44">
    <cfRule type="containsBlanks" dxfId="53" priority="4">
      <formula>LEN(TRIM(B1))=0</formula>
    </cfRule>
  </conditionalFormatting>
  <conditionalFormatting sqref="F4:F44">
    <cfRule type="duplicateValues" dxfId="52" priority="3"/>
  </conditionalFormatting>
  <conditionalFormatting sqref="P4:P43">
    <cfRule type="cellIs" dxfId="51" priority="1" operator="equal">
      <formula>"Wrong"</formula>
    </cfRule>
    <cfRule type="cellIs" dxfId="50" priority="2" operator="equal">
      <formula>"Right"</formula>
    </cfRule>
  </conditionalFormatting>
  <dataValidations count="3">
    <dataValidation type="list" allowBlank="1" showInputMessage="1" sqref="F4:F43" xr:uid="{FA00C6AC-75A2-45EF-AD74-5EFA9C77E588}">
      <formula1>Confidence_Count</formula1>
    </dataValidation>
    <dataValidation type="list" errorStyle="warning" allowBlank="1" showInputMessage="1" sqref="E4:E43" xr:uid="{B1B53E17-E512-470A-AB01-228DA07A13C4}">
      <formula1>$C4:$D4</formula1>
    </dataValidation>
    <dataValidation type="list" allowBlank="1" showInputMessage="1" showErrorMessage="1" sqref="E44" xr:uid="{8A061B96-33D3-41FA-935E-4A83A99C8EA5}">
      <formula1>"LSU,Ohio State,Clemson,Oklahoma"</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91AA5-239F-4407-8DBD-5899069B18B2}">
  <sheetPr codeName="Sheet10"/>
  <dimension ref="A1:S44"/>
  <sheetViews>
    <sheetView showGridLines="0" topLeftCell="A4" workbookViewId="0">
      <selection activeCell="P20" sqref="P20"/>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ht="14.5" customHeight="1" x14ac:dyDescent="0.35">
      <c r="A1" s="105" t="s">
        <v>0</v>
      </c>
      <c r="B1" s="105" t="str">
        <f>IF(ISBLANK([3]Instructions!G3),"",[3]Instructions!G3)</f>
        <v>Dan H</v>
      </c>
      <c r="F1" s="107" t="s">
        <v>1</v>
      </c>
      <c r="G1" s="105" t="str">
        <f>IF(ISBLANK([3]Instructions!G4),"",[3]Instructions!G4)</f>
        <v>Yes</v>
      </c>
      <c r="H1">
        <v>1</v>
      </c>
      <c r="I1" s="1" t="str">
        <f t="shared" ref="I1:I40" si="0">IF(COUNTIF($F$4:$F$43,H1)&gt;=1,"",ROW())</f>
        <v/>
      </c>
      <c r="J1" s="1" t="str" cm="1">
        <f t="array" ref="J1">IF(ROW(G4)-ROW(G$4)+1&gt;COUNT(I$1:I$40),"",INDEX(H:H,SMALL(I$1:I$40,1+ROW(G4)-ROW(G$4))))</f>
        <v/>
      </c>
    </row>
    <row r="2" spans="1:19" ht="15" customHeight="1"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cm="1">
        <f t="array" ref="J3">IF(ROW(G6)-ROW(G$4)+1&gt;COUNT(I$1:I$40),"",INDEX(H:H,SMALL(I$1:I$40,1+ROW(G6)-ROW(G$4))))</f>
        <v/>
      </c>
      <c r="P3" t="str">
        <f ca="1">_xlfn.CONCAT(COUNTIF(P4:P43,"Right")&amp;"/"&amp;(COUNTIF(P4:P43,"Right")+COUNTIF(P4:P43,"Wrong")))</f>
        <v>27/40</v>
      </c>
    </row>
    <row r="4" spans="1:19" ht="18" customHeight="1" thickTop="1" x14ac:dyDescent="0.4">
      <c r="A4" s="4">
        <v>43819</v>
      </c>
      <c r="B4" s="5" t="s">
        <v>8</v>
      </c>
      <c r="C4" s="6" t="s">
        <v>9</v>
      </c>
      <c r="D4" s="7" t="s">
        <v>10</v>
      </c>
      <c r="E4" s="8" t="s">
        <v>9</v>
      </c>
      <c r="F4" s="9">
        <v>13</v>
      </c>
      <c r="G4" s="10" t="str" cm="1">
        <f t="array" ref="G4">IF(ROW(G4)-ROW(G$4)+1&gt;COUNT(I$1:I$40),"",INDEX(H:H,SMALL(I$1:I$40,1+ROW(G4)-ROW(G$4))))</f>
        <v/>
      </c>
      <c r="H4">
        <v>4</v>
      </c>
      <c r="I4" s="1" t="str">
        <f t="shared" si="0"/>
        <v/>
      </c>
      <c r="J4" s="1" t="str" cm="1">
        <f t="array" ref="J4">IF(ROW(G7)-ROW(G$4)+1&gt;COUNT(I$1:I$40),"",INDEX(H:H,SMALL(I$1:I$40,1+ROW(G7)-ROW(G$4))))</f>
        <v/>
      </c>
      <c r="N4" s="11"/>
      <c r="P4" t="str">
        <f ca="1">IF(Summary!H5="","",IF(F4=Summary!H5,"Right","Wrong"))</f>
        <v>Right</v>
      </c>
    </row>
    <row r="5" spans="1:19" ht="18" customHeight="1" x14ac:dyDescent="0.4">
      <c r="A5" s="4">
        <v>43819</v>
      </c>
      <c r="B5" s="5" t="s">
        <v>11</v>
      </c>
      <c r="C5" s="12" t="s">
        <v>12</v>
      </c>
      <c r="D5" s="13" t="s">
        <v>13</v>
      </c>
      <c r="E5" s="8" t="s">
        <v>12</v>
      </c>
      <c r="F5" s="9">
        <v>20</v>
      </c>
      <c r="G5" s="10" t="str" cm="1">
        <f t="array" ref="G5">IF(ROW(G5)-ROW(G$4)+1&gt;COUNT(I$1:I$40),"",INDEX(H:H,SMALL(I$1:I$40,1+ROW(G5)-ROW(G$4))))</f>
        <v/>
      </c>
      <c r="H5">
        <v>5</v>
      </c>
      <c r="I5" s="1" t="str">
        <f t="shared" si="0"/>
        <v/>
      </c>
      <c r="J5" s="1" t="str" cm="1">
        <f t="array" ref="J5">IF(ROW(G8)-ROW(G$4)+1&gt;COUNT(I$1:I$40),"",INDEX(H:H,SMALL(I$1:I$40,1+ROW(G8)-ROW(G$4))))</f>
        <v/>
      </c>
      <c r="P5" t="str">
        <f ca="1">IF(Summary!H6="","",IF(F5=Summary!H6,"Right","Wrong"))</f>
        <v>Wrong</v>
      </c>
    </row>
    <row r="6" spans="1:19" ht="18" customHeight="1" x14ac:dyDescent="0.4">
      <c r="A6" s="4">
        <v>43820</v>
      </c>
      <c r="B6" s="5" t="s">
        <v>14</v>
      </c>
      <c r="C6" s="12" t="s">
        <v>15</v>
      </c>
      <c r="D6" s="13" t="s">
        <v>16</v>
      </c>
      <c r="E6" s="8" t="s">
        <v>16</v>
      </c>
      <c r="F6" s="9">
        <v>1</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IF(Summary!H7="","",IF(F6=Summary!H7,"Right","Wrong"))</f>
        <v>Right</v>
      </c>
    </row>
    <row r="7" spans="1:19" ht="18" customHeight="1" x14ac:dyDescent="0.4">
      <c r="A7" s="4">
        <v>43820</v>
      </c>
      <c r="B7" s="5" t="s">
        <v>17</v>
      </c>
      <c r="C7" s="12" t="s">
        <v>18</v>
      </c>
      <c r="D7" s="13" t="s">
        <v>19</v>
      </c>
      <c r="E7" s="8" t="s">
        <v>18</v>
      </c>
      <c r="F7" s="9">
        <v>30</v>
      </c>
      <c r="G7" s="10" t="str" cm="1">
        <f t="array" ref="G7">IF(ROW(G7)-ROW(G$4)+1&gt;COUNT(I$1:I$40),"",INDEX(H:H,SMALL(I$1:I$40,1+ROW(G7)-ROW(G$4))))</f>
        <v/>
      </c>
      <c r="H7">
        <v>7</v>
      </c>
      <c r="I7" s="1" t="str">
        <f t="shared" si="0"/>
        <v/>
      </c>
      <c r="J7" s="1" t="str" cm="1">
        <f t="array" ref="J7">IF(ROW(G10)-ROW(G$4)+1&gt;COUNT(I$1:I$40),"",INDEX(H:H,SMALL(I$1:I$40,1+ROW(G10)-ROW(G$4))))</f>
        <v/>
      </c>
      <c r="P7" t="str">
        <f ca="1">IF(Summary!H8="","",IF(F7=Summary!H8,"Right","Wrong"))</f>
        <v>Right</v>
      </c>
      <c r="R7" s="103"/>
      <c r="S7" s="103"/>
    </row>
    <row r="8" spans="1:19" ht="18" customHeight="1" x14ac:dyDescent="0.4">
      <c r="A8" s="4">
        <v>43820</v>
      </c>
      <c r="B8" s="5" t="s">
        <v>20</v>
      </c>
      <c r="C8" s="12" t="s">
        <v>21</v>
      </c>
      <c r="D8" s="13" t="s">
        <v>22</v>
      </c>
      <c r="E8" s="8" t="s">
        <v>21</v>
      </c>
      <c r="F8" s="9">
        <v>10</v>
      </c>
      <c r="G8" s="10" t="str" cm="1">
        <f t="array" ref="G8">IF(ROW(G8)-ROW(G$4)+1&gt;COUNT(I$1:I$40),"",INDEX(H:H,SMALL(I$1:I$40,1+ROW(G8)-ROW(G$4))))</f>
        <v/>
      </c>
      <c r="H8">
        <v>8</v>
      </c>
      <c r="I8" s="1" t="str">
        <f t="shared" si="0"/>
        <v/>
      </c>
      <c r="J8" s="1" t="str" cm="1">
        <f t="array" ref="J8">IF(ROW(G11)-ROW(G$4)+1&gt;COUNT(I$1:I$40),"",INDEX(H:H,SMALL(I$1:I$40,1+ROW(G11)-ROW(G$4))))</f>
        <v/>
      </c>
      <c r="P8" t="str">
        <f ca="1">IF(Summary!H9="","",IF(F8=Summary!H9,"Right","Wrong"))</f>
        <v>Wrong</v>
      </c>
      <c r="R8" s="103"/>
      <c r="S8" s="103"/>
    </row>
    <row r="9" spans="1:19" ht="18" customHeight="1" x14ac:dyDescent="0.4">
      <c r="A9" s="4">
        <v>43820</v>
      </c>
      <c r="B9" s="5" t="s">
        <v>23</v>
      </c>
      <c r="C9" s="12" t="s">
        <v>24</v>
      </c>
      <c r="D9" s="13" t="s">
        <v>25</v>
      </c>
      <c r="E9" s="8" t="s">
        <v>25</v>
      </c>
      <c r="F9" s="9">
        <v>11</v>
      </c>
      <c r="G9" s="10" t="str" cm="1">
        <f t="array" ref="G9">IF(ROW(G9)-ROW(G$4)+1&gt;COUNT(I$1:I$40),"",INDEX(H:H,SMALL(I$1:I$40,1+ROW(G9)-ROW(G$4))))</f>
        <v/>
      </c>
      <c r="H9">
        <v>9</v>
      </c>
      <c r="I9" s="1" t="str">
        <f t="shared" si="0"/>
        <v/>
      </c>
      <c r="J9" s="1" t="str" cm="1">
        <f t="array" ref="J9">IF(ROW(G12)-ROW(G$4)+1&gt;COUNT(I$1:I$40),"",INDEX(H:H,SMALL(I$1:I$40,1+ROW(G12)-ROW(G$4))))</f>
        <v/>
      </c>
      <c r="P9" t="str">
        <f ca="1">IF(Summary!H10="","",IF(F9=Summary!H10,"Right","Wrong"))</f>
        <v>Right</v>
      </c>
    </row>
    <row r="10" spans="1:19" ht="18" customHeight="1" x14ac:dyDescent="0.4">
      <c r="A10" s="4">
        <v>43820</v>
      </c>
      <c r="B10" s="5" t="s">
        <v>26</v>
      </c>
      <c r="C10" s="12" t="s">
        <v>27</v>
      </c>
      <c r="D10" s="13" t="s">
        <v>28</v>
      </c>
      <c r="E10" s="8" t="s">
        <v>28</v>
      </c>
      <c r="F10" s="9">
        <v>12</v>
      </c>
      <c r="G10" s="10" t="str" cm="1">
        <f t="array" ref="G10">IF(ROW(G10)-ROW(G$4)+1&gt;COUNT(I$1:I$40),"",INDEX(H:H,SMALL(I$1:I$40,1+ROW(G10)-ROW(G$4))))</f>
        <v/>
      </c>
      <c r="H10">
        <v>10</v>
      </c>
      <c r="I10" s="1" t="str">
        <f t="shared" si="0"/>
        <v/>
      </c>
      <c r="J10" s="1" t="str" cm="1">
        <f t="array" ref="J10">IF(ROW(G13)-ROW(G$4)+1&gt;COUNT(I$1:I$40),"",INDEX(H:H,SMALL(I$1:I$40,1+ROW(G13)-ROW(G$4))))</f>
        <v/>
      </c>
      <c r="P10" t="str">
        <f ca="1">IF(Summary!H11="","",IF(F10=Summary!H11,"Right","Wrong"))</f>
        <v>Right</v>
      </c>
    </row>
    <row r="11" spans="1:19" ht="18" customHeight="1" x14ac:dyDescent="0.4">
      <c r="A11" s="4">
        <v>43820</v>
      </c>
      <c r="B11" s="5" t="s">
        <v>29</v>
      </c>
      <c r="C11" s="12" t="s">
        <v>30</v>
      </c>
      <c r="D11" s="13" t="s">
        <v>31</v>
      </c>
      <c r="E11" s="8" t="s">
        <v>31</v>
      </c>
      <c r="F11" s="9">
        <v>28</v>
      </c>
      <c r="G11" s="10" t="str" cm="1">
        <f t="array" ref="G11">IF(ROW(G11)-ROW(G$4)+1&gt;COUNT(I$1:I$40),"",INDEX(H:H,SMALL(I$1:I$40,1+ROW(G11)-ROW(G$4))))</f>
        <v/>
      </c>
      <c r="H11">
        <v>11</v>
      </c>
      <c r="I11" s="1" t="str">
        <f t="shared" si="0"/>
        <v/>
      </c>
      <c r="J11" s="1" t="str" cm="1">
        <f t="array" ref="J11">IF(ROW(G14)-ROW(G$4)+1&gt;COUNT(I$1:I$40),"",INDEX(H:H,SMALL(I$1:I$40,1+ROW(G14)-ROW(G$4))))</f>
        <v/>
      </c>
      <c r="P11" t="str">
        <f ca="1">IF(Summary!H12="","",IF(F11=Summary!H12,"Right","Wrong"))</f>
        <v>Wrong</v>
      </c>
    </row>
    <row r="12" spans="1:19" ht="18" customHeight="1" x14ac:dyDescent="0.4">
      <c r="A12" s="4">
        <v>43820</v>
      </c>
      <c r="B12" s="5" t="s">
        <v>32</v>
      </c>
      <c r="C12" s="12" t="s">
        <v>33</v>
      </c>
      <c r="D12" s="13" t="s">
        <v>34</v>
      </c>
      <c r="E12" s="8" t="s">
        <v>33</v>
      </c>
      <c r="F12" s="9">
        <v>40</v>
      </c>
      <c r="G12" s="10" t="str" cm="1">
        <f t="array" ref="G12">IF(ROW(G12)-ROW(G$4)+1&gt;COUNT(I$1:I$40),"",INDEX(H:H,SMALL(I$1:I$40,1+ROW(G12)-ROW(G$4))))</f>
        <v/>
      </c>
      <c r="H12">
        <v>12</v>
      </c>
      <c r="I12" s="1" t="str">
        <f t="shared" si="0"/>
        <v/>
      </c>
      <c r="J12" s="1" t="str" cm="1">
        <f t="array" ref="J12">IF(ROW(G15)-ROW(G$4)+1&gt;COUNT(I$1:I$40),"",INDEX(H:H,SMALL(I$1:I$40,1+ROW(G15)-ROW(G$4))))</f>
        <v/>
      </c>
      <c r="P12" t="str">
        <f ca="1">IF(Summary!H13="","",IF(F12=Summary!H13,"Right","Wrong"))</f>
        <v>Right</v>
      </c>
    </row>
    <row r="13" spans="1:19" ht="18" customHeight="1" x14ac:dyDescent="0.4">
      <c r="A13" s="4">
        <v>43822</v>
      </c>
      <c r="B13" s="5" t="s">
        <v>35</v>
      </c>
      <c r="C13" s="12" t="s">
        <v>36</v>
      </c>
      <c r="D13" s="13" t="s">
        <v>37</v>
      </c>
      <c r="E13" s="8" t="s">
        <v>36</v>
      </c>
      <c r="F13" s="9">
        <v>39</v>
      </c>
      <c r="G13" s="10" t="str" cm="1">
        <f t="array" ref="G13">IF(ROW(G13)-ROW(G$4)+1&gt;COUNT(I$1:I$40),"",INDEX(H:H,SMALL(I$1:I$40,1+ROW(G13)-ROW(G$4))))</f>
        <v/>
      </c>
      <c r="H13">
        <v>13</v>
      </c>
      <c r="I13" s="1" t="str">
        <f t="shared" si="0"/>
        <v/>
      </c>
      <c r="J13" s="1" t="str" cm="1">
        <f t="array" ref="J13">IF(ROW(G16)-ROW(G$4)+1&gt;COUNT(I$1:I$40),"",INDEX(H:H,SMALL(I$1:I$40,1+ROW(G16)-ROW(G$4))))</f>
        <v/>
      </c>
      <c r="P13" t="str">
        <f ca="1">IF(Summary!H14="","",IF(F13=Summary!H14,"Right","Wrong"))</f>
        <v>Right</v>
      </c>
    </row>
    <row r="14" spans="1:19" ht="18" customHeight="1" x14ac:dyDescent="0.4">
      <c r="A14" s="4">
        <v>43823</v>
      </c>
      <c r="B14" s="5" t="s">
        <v>38</v>
      </c>
      <c r="C14" s="12" t="s">
        <v>39</v>
      </c>
      <c r="D14" s="13" t="s">
        <v>40</v>
      </c>
      <c r="E14" s="8" t="s">
        <v>39</v>
      </c>
      <c r="F14" s="9">
        <v>29</v>
      </c>
      <c r="G14" s="10" t="str" cm="1">
        <f t="array" ref="G14">IF(ROW(G14)-ROW(G$4)+1&gt;COUNT(I$1:I$40),"",INDEX(H:H,SMALL(I$1:I$40,1+ROW(G14)-ROW(G$4))))</f>
        <v/>
      </c>
      <c r="H14">
        <v>14</v>
      </c>
      <c r="I14" s="1" t="str">
        <f t="shared" si="0"/>
        <v/>
      </c>
      <c r="J14" s="1" t="str" cm="1">
        <f t="array" ref="J14">IF(ROW(G17)-ROW(G$4)+1&gt;COUNT(I$1:I$40),"",INDEX(H:H,SMALL(I$1:I$40,1+ROW(G17)-ROW(G$4))))</f>
        <v/>
      </c>
      <c r="P14" t="str">
        <f ca="1">IF(Summary!H15="","",IF(F14=Summary!H15,"Right","Wrong"))</f>
        <v>Right</v>
      </c>
    </row>
    <row r="15" spans="1:19" ht="18" customHeight="1" x14ac:dyDescent="0.4">
      <c r="A15" s="4">
        <v>43825</v>
      </c>
      <c r="B15" s="5" t="s">
        <v>41</v>
      </c>
      <c r="C15" s="12" t="s">
        <v>42</v>
      </c>
      <c r="D15" s="13" t="s">
        <v>43</v>
      </c>
      <c r="E15" s="8" t="s">
        <v>42</v>
      </c>
      <c r="F15" s="9">
        <v>36</v>
      </c>
      <c r="G15" s="10" t="str" cm="1">
        <f t="array" ref="G15">IF(ROW(G15)-ROW(G$4)+1&gt;COUNT(I$1:I$40),"",INDEX(H:H,SMALL(I$1:I$40,1+ROW(G15)-ROW(G$4))))</f>
        <v/>
      </c>
      <c r="H15">
        <v>15</v>
      </c>
      <c r="I15" s="1" t="str">
        <f t="shared" si="0"/>
        <v/>
      </c>
      <c r="J15" s="1" t="str" cm="1">
        <f t="array" ref="J15">IF(ROW(G18)-ROW(G$4)+1&gt;COUNT(I$1:I$40),"",INDEX(H:H,SMALL(I$1:I$40,1+ROW(G18)-ROW(G$4))))</f>
        <v/>
      </c>
      <c r="P15" t="str">
        <f ca="1">IF(Summary!H16="","",IF(F15=Summary!H16,"Right","Wrong"))</f>
        <v>Wrong</v>
      </c>
    </row>
    <row r="16" spans="1:19" ht="18" customHeight="1" x14ac:dyDescent="0.4">
      <c r="A16" s="4">
        <v>43825</v>
      </c>
      <c r="B16" s="5" t="s">
        <v>44</v>
      </c>
      <c r="C16" s="12" t="s">
        <v>45</v>
      </c>
      <c r="D16" s="13" t="s">
        <v>46</v>
      </c>
      <c r="E16" s="8" t="s">
        <v>45</v>
      </c>
      <c r="F16" s="9">
        <v>33</v>
      </c>
      <c r="G16" s="10" t="str" cm="1">
        <f t="array" ref="G16">IF(ROW(G16)-ROW(G$4)+1&gt;COUNT(I$1:I$40),"",INDEX(H:H,SMALL(I$1:I$40,1+ROW(G16)-ROW(G$4))))</f>
        <v/>
      </c>
      <c r="H16">
        <v>16</v>
      </c>
      <c r="I16" s="1" t="str">
        <f t="shared" si="0"/>
        <v/>
      </c>
      <c r="J16" s="1" t="str" cm="1">
        <f t="array" ref="J16">IF(ROW(G19)-ROW(G$4)+1&gt;COUNT(I$1:I$40),"",INDEX(H:H,SMALL(I$1:I$40,1+ROW(G19)-ROW(G$4))))</f>
        <v/>
      </c>
      <c r="P16" t="str">
        <f ca="1">IF(Summary!H17="","",IF(F16=Summary!H17,"Right","Wrong"))</f>
        <v>Right</v>
      </c>
    </row>
    <row r="17" spans="1:16" ht="18" customHeight="1" x14ac:dyDescent="0.4">
      <c r="A17" s="4">
        <v>43826</v>
      </c>
      <c r="B17" s="5" t="s">
        <v>47</v>
      </c>
      <c r="C17" s="12" t="s">
        <v>48</v>
      </c>
      <c r="D17" s="13" t="s">
        <v>49</v>
      </c>
      <c r="E17" s="8" t="s">
        <v>48</v>
      </c>
      <c r="F17" s="9">
        <v>27</v>
      </c>
      <c r="G17" s="10" t="str" cm="1">
        <f t="array" ref="G17">IF(ROW(G17)-ROW(G$4)+1&gt;COUNT(I$1:I$40),"",INDEX(H:H,SMALL(I$1:I$40,1+ROW(G17)-ROW(G$4))))</f>
        <v/>
      </c>
      <c r="H17">
        <v>17</v>
      </c>
      <c r="I17" s="1" t="str">
        <f t="shared" si="0"/>
        <v/>
      </c>
      <c r="J17" s="1" t="str" cm="1">
        <f t="array" ref="J17">IF(ROW(G20)-ROW(G$4)+1&gt;COUNT(I$1:I$40),"",INDEX(H:H,SMALL(I$1:I$40,1+ROW(G20)-ROW(G$4))))</f>
        <v/>
      </c>
      <c r="P17" t="str">
        <f ca="1">IF(Summary!H18="","",IF(F17=Summary!H18,"Right","Wrong"))</f>
        <v>Right</v>
      </c>
    </row>
    <row r="18" spans="1:16" ht="18" customHeight="1" x14ac:dyDescent="0.4">
      <c r="A18" s="4">
        <v>43826</v>
      </c>
      <c r="B18" s="5" t="s">
        <v>50</v>
      </c>
      <c r="C18" s="12" t="s">
        <v>51</v>
      </c>
      <c r="D18" s="13" t="s">
        <v>52</v>
      </c>
      <c r="E18" s="8" t="s">
        <v>52</v>
      </c>
      <c r="F18" s="9">
        <v>22</v>
      </c>
      <c r="G18" s="10" t="str" cm="1">
        <f t="array" ref="G18">IF(ROW(G18)-ROW(G$4)+1&gt;COUNT(I$1:I$40),"",INDEX(H:H,SMALL(I$1:I$40,1+ROW(G18)-ROW(G$4))))</f>
        <v/>
      </c>
      <c r="H18">
        <v>18</v>
      </c>
      <c r="I18" s="1" t="str">
        <f t="shared" si="0"/>
        <v/>
      </c>
      <c r="J18" s="1" t="str" cm="1">
        <f t="array" ref="J18">IF(ROW(G21)-ROW(G$4)+1&gt;COUNT(I$1:I$40),"",INDEX(H:H,SMALL(I$1:I$40,1+ROW(G21)-ROW(G$4))))</f>
        <v/>
      </c>
      <c r="P18" t="str">
        <f ca="1">IF(Summary!H19="","",IF(F18=Summary!H19,"Right","Wrong"))</f>
        <v>Right</v>
      </c>
    </row>
    <row r="19" spans="1:16" ht="18" customHeight="1" x14ac:dyDescent="0.4">
      <c r="A19" s="4">
        <v>43826</v>
      </c>
      <c r="B19" s="5" t="s">
        <v>53</v>
      </c>
      <c r="C19" s="12" t="s">
        <v>54</v>
      </c>
      <c r="D19" s="13" t="s">
        <v>55</v>
      </c>
      <c r="E19" s="8" t="s">
        <v>55</v>
      </c>
      <c r="F19" s="9">
        <v>19</v>
      </c>
      <c r="G19" s="10" t="str" cm="1">
        <f t="array" ref="G19">IF(ROW(G19)-ROW(G$4)+1&gt;COUNT(I$1:I$40),"",INDEX(H:H,SMALL(I$1:I$40,1+ROW(G19)-ROW(G$4))))</f>
        <v/>
      </c>
      <c r="H19">
        <v>19</v>
      </c>
      <c r="I19" s="1" t="str">
        <f t="shared" si="0"/>
        <v/>
      </c>
      <c r="J19" s="1" t="str" cm="1">
        <f t="array" ref="J19">IF(ROW(G22)-ROW(G$4)+1&gt;COUNT(I$1:I$40),"",INDEX(H:H,SMALL(I$1:I$40,1+ROW(G22)-ROW(G$4))))</f>
        <v/>
      </c>
      <c r="P19" t="str">
        <f ca="1">IF(Summary!H20="","",IF(F19=Summary!H20,"Right","Wrong"))</f>
        <v>Right</v>
      </c>
    </row>
    <row r="20" spans="1:16" ht="18" customHeight="1" x14ac:dyDescent="0.4">
      <c r="A20" s="4">
        <v>43826</v>
      </c>
      <c r="B20" s="5" t="s">
        <v>56</v>
      </c>
      <c r="C20" s="12" t="s">
        <v>57</v>
      </c>
      <c r="D20" s="13" t="s">
        <v>58</v>
      </c>
      <c r="E20" s="8" t="s">
        <v>57</v>
      </c>
      <c r="F20" s="9">
        <v>23</v>
      </c>
      <c r="G20" s="10" t="str" cm="1">
        <f t="array" ref="G20">IF(ROW(G20)-ROW(G$4)+1&gt;COUNT(I$1:I$40),"",INDEX(H:H,SMALL(I$1:I$40,1+ROW(G20)-ROW(G$4))))</f>
        <v/>
      </c>
      <c r="H20">
        <v>20</v>
      </c>
      <c r="I20" s="1" t="str">
        <f t="shared" si="0"/>
        <v/>
      </c>
      <c r="J20" s="1" t="str" cm="1">
        <f t="array" ref="J20">IF(ROW(G23)-ROW(G$4)+1&gt;COUNT(I$1:I$40),"",INDEX(H:H,SMALL(I$1:I$40,1+ROW(G23)-ROW(G$4))))</f>
        <v/>
      </c>
      <c r="P20" t="str">
        <f ca="1">IF(Summary!H21="","",IF(F20=Summary!H21,"Right","Wrong"))</f>
        <v>Wrong</v>
      </c>
    </row>
    <row r="21" spans="1:16" ht="18" customHeight="1" x14ac:dyDescent="0.4">
      <c r="A21" s="4">
        <v>43826</v>
      </c>
      <c r="B21" s="5" t="s">
        <v>59</v>
      </c>
      <c r="C21" s="12" t="s">
        <v>60</v>
      </c>
      <c r="D21" s="13" t="s">
        <v>61</v>
      </c>
      <c r="E21" s="8" t="s">
        <v>60</v>
      </c>
      <c r="F21" s="9">
        <v>14</v>
      </c>
      <c r="G21" s="10" t="str" cm="1">
        <f t="array" ref="G21">IF(ROW(G21)-ROW(G$4)+1&gt;COUNT(I$1:I$40),"",INDEX(H:H,SMALL(I$1:I$40,1+ROW(G21)-ROW(G$4))))</f>
        <v/>
      </c>
      <c r="H21">
        <v>21</v>
      </c>
      <c r="I21" s="1" t="str">
        <f t="shared" si="0"/>
        <v/>
      </c>
      <c r="J21" s="1" t="str" cm="1">
        <f t="array" ref="J21">IF(ROW(G24)-ROW(G$4)+1&gt;COUNT(I$1:I$40),"",INDEX(H:H,SMALL(I$1:I$40,1+ROW(G24)-ROW(G$4))))</f>
        <v/>
      </c>
      <c r="P21" t="str">
        <f ca="1">IF(Summary!H22="","",IF(F21=Summary!H22,"Right","Wrong"))</f>
        <v>Right</v>
      </c>
    </row>
    <row r="22" spans="1:16" ht="18" customHeight="1" x14ac:dyDescent="0.4">
      <c r="A22" s="4">
        <v>43827</v>
      </c>
      <c r="B22" s="5" t="s">
        <v>62</v>
      </c>
      <c r="C22" s="12" t="s">
        <v>63</v>
      </c>
      <c r="D22" s="13" t="s">
        <v>64</v>
      </c>
      <c r="E22" s="8" t="s">
        <v>63</v>
      </c>
      <c r="F22" s="9">
        <v>15</v>
      </c>
      <c r="G22" s="10" t="str" cm="1">
        <f t="array" ref="G22">IF(ROW(G22)-ROW(G$4)+1&gt;COUNT(I$1:I$40),"",INDEX(H:H,SMALL(I$1:I$40,1+ROW(G22)-ROW(G$4))))</f>
        <v/>
      </c>
      <c r="H22">
        <v>22</v>
      </c>
      <c r="I22" s="1" t="str">
        <f t="shared" si="0"/>
        <v/>
      </c>
      <c r="J22" s="1" t="str" cm="1">
        <f t="array" ref="J22">IF(ROW(G25)-ROW(G$4)+1&gt;COUNT(I$1:I$40),"",INDEX(H:H,SMALL(I$1:I$40,1+ROW(G25)-ROW(G$4))))</f>
        <v/>
      </c>
      <c r="P22" t="str">
        <f ca="1">IF(Summary!H23="","",IF(F22=Summary!H23,"Right","Wrong"))</f>
        <v>Right</v>
      </c>
    </row>
    <row r="23" spans="1:16" ht="18" customHeight="1" x14ac:dyDescent="0.4">
      <c r="A23" s="4">
        <v>43827</v>
      </c>
      <c r="B23" s="5" t="s">
        <v>65</v>
      </c>
      <c r="C23" s="12" t="s">
        <v>66</v>
      </c>
      <c r="D23" s="13" t="s">
        <v>67</v>
      </c>
      <c r="E23" s="8" t="s">
        <v>66</v>
      </c>
      <c r="F23" s="9">
        <v>38</v>
      </c>
      <c r="G23" s="10" t="str" cm="1">
        <f t="array" ref="G23">IF(ROW(G23)-ROW(G$4)+1&gt;COUNT(I$1:I$40),"",INDEX(H:H,SMALL(I$1:I$40,1+ROW(G23)-ROW(G$4))))</f>
        <v/>
      </c>
      <c r="H23">
        <v>23</v>
      </c>
      <c r="I23" s="1" t="str">
        <f t="shared" si="0"/>
        <v/>
      </c>
      <c r="J23" s="1" t="str" cm="1">
        <f t="array" ref="J23">IF(ROW(G26)-ROW(G$4)+1&gt;COUNT(I$1:I$40),"",INDEX(H:H,SMALL(I$1:I$40,1+ROW(G26)-ROW(G$4))))</f>
        <v/>
      </c>
      <c r="P23" t="str">
        <f ca="1">IF(Summary!H24="","",IF(F23=Summary!H24,"Right","Wrong"))</f>
        <v>Right</v>
      </c>
    </row>
    <row r="24" spans="1:16" ht="18" customHeight="1" x14ac:dyDescent="0.4">
      <c r="A24" s="4">
        <v>43827</v>
      </c>
      <c r="B24" s="5" t="s">
        <v>68</v>
      </c>
      <c r="C24" s="12" t="s">
        <v>69</v>
      </c>
      <c r="D24" s="13" t="s">
        <v>70</v>
      </c>
      <c r="E24" s="8" t="s">
        <v>69</v>
      </c>
      <c r="F24" s="9">
        <v>31</v>
      </c>
      <c r="G24" s="10" t="str" cm="1">
        <f t="array" ref="G24">IF(ROW(G24)-ROW(G$4)+1&gt;COUNT(I$1:I$40),"",INDEX(H:H,SMALL(I$1:I$40,1+ROW(G24)-ROW(G$4))))</f>
        <v/>
      </c>
      <c r="H24">
        <v>24</v>
      </c>
      <c r="I24" s="1" t="str">
        <f t="shared" si="0"/>
        <v/>
      </c>
      <c r="J24" s="1" t="str" cm="1">
        <f t="array" ref="J24">IF(ROW(G27)-ROW(G$4)+1&gt;COUNT(I$1:I$40),"",INDEX(H:H,SMALL(I$1:I$40,1+ROW(G27)-ROW(G$4))))</f>
        <v/>
      </c>
      <c r="P24" t="str">
        <f ca="1">IF(Summary!H25="","",IF(F24=Summary!H25,"Right","Wrong"))</f>
        <v>Right</v>
      </c>
    </row>
    <row r="25" spans="1:16" ht="18" customHeight="1" x14ac:dyDescent="0.4">
      <c r="A25" s="4">
        <v>43827</v>
      </c>
      <c r="B25" s="5" t="s">
        <v>71</v>
      </c>
      <c r="C25" s="12" t="s">
        <v>72</v>
      </c>
      <c r="D25" s="13" t="s">
        <v>73</v>
      </c>
      <c r="E25" s="8" t="s">
        <v>72</v>
      </c>
      <c r="F25" s="9">
        <v>7</v>
      </c>
      <c r="G25" s="10" t="str" cm="1">
        <f t="array" ref="G25">IF(ROW(G25)-ROW(G$4)+1&gt;COUNT(I$1:I$40),"",INDEX(H:H,SMALL(I$1:I$40,1+ROW(G25)-ROW(G$4))))</f>
        <v/>
      </c>
      <c r="H25">
        <v>25</v>
      </c>
      <c r="I25" s="1" t="str">
        <f t="shared" si="0"/>
        <v/>
      </c>
      <c r="J25" s="1" t="str" cm="1">
        <f t="array" ref="J25">IF(ROW(G28)-ROW(G$4)+1&gt;COUNT(I$1:I$40),"",INDEX(H:H,SMALL(I$1:I$40,1+ROW(G28)-ROW(G$4))))</f>
        <v/>
      </c>
      <c r="P25" t="str">
        <f ca="1">IF(Summary!H26="","",IF(F25=Summary!H26,"Right","Wrong"))</f>
        <v>Wrong</v>
      </c>
    </row>
    <row r="26" spans="1:16" ht="18" customHeight="1" x14ac:dyDescent="0.4">
      <c r="A26" s="4">
        <v>43829</v>
      </c>
      <c r="B26" s="5" t="s">
        <v>74</v>
      </c>
      <c r="C26" s="12" t="s">
        <v>75</v>
      </c>
      <c r="D26" s="13" t="s">
        <v>76</v>
      </c>
      <c r="E26" s="8" t="s">
        <v>75</v>
      </c>
      <c r="F26" s="9">
        <v>18</v>
      </c>
      <c r="G26" s="10" t="str" cm="1">
        <f t="array" ref="G26">IF(ROW(G26)-ROW(G$4)+1&gt;COUNT(I$1:I$40),"",INDEX(H:H,SMALL(I$1:I$40,1+ROW(G26)-ROW(G$4))))</f>
        <v/>
      </c>
      <c r="H26">
        <v>26</v>
      </c>
      <c r="I26" s="1" t="str">
        <f t="shared" si="0"/>
        <v/>
      </c>
      <c r="J26" s="1" t="str" cm="1">
        <f t="array" ref="J26">IF(ROW(G29)-ROW(G$4)+1&gt;COUNT(I$1:I$40),"",INDEX(H:H,SMALL(I$1:I$40,1+ROW(G29)-ROW(G$4))))</f>
        <v/>
      </c>
      <c r="P26" t="str">
        <f ca="1">IF(Summary!H27="","",IF(F26=Summary!H27,"Right","Wrong"))</f>
        <v>Right</v>
      </c>
    </row>
    <row r="27" spans="1:16" ht="18" customHeight="1" x14ac:dyDescent="0.4">
      <c r="A27" s="4">
        <v>43829</v>
      </c>
      <c r="B27" s="5" t="s">
        <v>77</v>
      </c>
      <c r="C27" s="12" t="s">
        <v>78</v>
      </c>
      <c r="D27" s="13" t="s">
        <v>148</v>
      </c>
      <c r="E27" s="8" t="s">
        <v>78</v>
      </c>
      <c r="F27" s="9">
        <v>8</v>
      </c>
      <c r="G27" s="10" t="str" cm="1">
        <f t="array" ref="G27">IF(ROW(G27)-ROW(G$4)+1&gt;COUNT(I$1:I$40),"",INDEX(H:H,SMALL(I$1:I$40,1+ROW(G27)-ROW(G$4))))</f>
        <v/>
      </c>
      <c r="H27">
        <v>27</v>
      </c>
      <c r="I27" s="1" t="str">
        <f t="shared" si="0"/>
        <v/>
      </c>
      <c r="J27" s="1" t="str" cm="1">
        <f t="array" ref="J27">IF(ROW(G30)-ROW(G$4)+1&gt;COUNT(I$1:I$40),"",INDEX(H:H,SMALL(I$1:I$40,1+ROW(G30)-ROW(G$4))))</f>
        <v/>
      </c>
      <c r="P27" t="str">
        <f ca="1">IF(Summary!H28="","",IF(F27=Summary!H28,"Right","Wrong"))</f>
        <v>Wrong</v>
      </c>
    </row>
    <row r="28" spans="1:16" ht="18" customHeight="1" x14ac:dyDescent="0.4">
      <c r="A28" s="4">
        <v>43829</v>
      </c>
      <c r="B28" s="5" t="s">
        <v>80</v>
      </c>
      <c r="C28" s="12" t="s">
        <v>81</v>
      </c>
      <c r="D28" s="13" t="s">
        <v>82</v>
      </c>
      <c r="E28" s="8" t="s">
        <v>82</v>
      </c>
      <c r="F28" s="9">
        <v>25</v>
      </c>
      <c r="G28" s="10" t="str" cm="1">
        <f t="array" ref="G28">IF(ROW(G28)-ROW(G$4)+1&gt;COUNT(I$1:I$40),"",INDEX(H:H,SMALL(I$1:I$40,1+ROW(G28)-ROW(G$4))))</f>
        <v/>
      </c>
      <c r="H28">
        <v>28</v>
      </c>
      <c r="I28" s="1" t="str">
        <f t="shared" si="0"/>
        <v/>
      </c>
      <c r="J28" s="1" t="str" cm="1">
        <f t="array" ref="J28">IF(ROW(G31)-ROW(G$4)+1&gt;COUNT(I$1:I$40),"",INDEX(H:H,SMALL(I$1:I$40,1+ROW(G31)-ROW(G$4))))</f>
        <v/>
      </c>
      <c r="P28" t="str">
        <f ca="1">IF(Summary!H29="","",IF(F28=Summary!H29,"Right","Wrong"))</f>
        <v>Right</v>
      </c>
    </row>
    <row r="29" spans="1:16" ht="18" customHeight="1" x14ac:dyDescent="0.4">
      <c r="A29" s="4">
        <v>43829</v>
      </c>
      <c r="B29" s="5" t="s">
        <v>83</v>
      </c>
      <c r="C29" s="12" t="s">
        <v>84</v>
      </c>
      <c r="D29" s="13" t="s">
        <v>85</v>
      </c>
      <c r="E29" s="8" t="s">
        <v>84</v>
      </c>
      <c r="F29" s="9">
        <v>37</v>
      </c>
      <c r="G29" s="10" t="str" cm="1">
        <f t="array" ref="G29">IF(ROW(G29)-ROW(G$4)+1&gt;COUNT(I$1:I$40),"",INDEX(H:H,SMALL(I$1:I$40,1+ROW(G29)-ROW(G$4))))</f>
        <v/>
      </c>
      <c r="H29">
        <v>29</v>
      </c>
      <c r="I29" s="1" t="str">
        <f t="shared" si="0"/>
        <v/>
      </c>
      <c r="J29" s="1" t="str" cm="1">
        <f t="array" ref="J29">IF(ROW(G32)-ROW(G$4)+1&gt;COUNT(I$1:I$40),"",INDEX(H:H,SMALL(I$1:I$40,1+ROW(G32)-ROW(G$4))))</f>
        <v/>
      </c>
      <c r="P29" t="str">
        <f ca="1">IF(Summary!H30="","",IF(F29=Summary!H30,"Right","Wrong"))</f>
        <v>Right</v>
      </c>
    </row>
    <row r="30" spans="1:16" ht="18" customHeight="1" x14ac:dyDescent="0.4">
      <c r="A30" s="4">
        <v>43830</v>
      </c>
      <c r="B30" s="5" t="s">
        <v>86</v>
      </c>
      <c r="C30" s="12" t="s">
        <v>87</v>
      </c>
      <c r="D30" s="13" t="s">
        <v>88</v>
      </c>
      <c r="E30" s="8" t="s">
        <v>88</v>
      </c>
      <c r="F30" s="9">
        <v>17</v>
      </c>
      <c r="G30" s="10" t="str" cm="1">
        <f t="array" ref="G30">IF(ROW(G30)-ROW(G$4)+1&gt;COUNT(I$1:I$40),"",INDEX(H:H,SMALL(I$1:I$40,1+ROW(G30)-ROW(G$4))))</f>
        <v/>
      </c>
      <c r="H30">
        <v>30</v>
      </c>
      <c r="I30" s="1" t="str">
        <f t="shared" si="0"/>
        <v/>
      </c>
      <c r="J30" s="1" t="str" cm="1">
        <f t="array" ref="J30">IF(ROW(G33)-ROW(G$4)+1&gt;COUNT(I$1:I$40),"",INDEX(H:H,SMALL(I$1:I$40,1+ROW(G33)-ROW(G$4))))</f>
        <v/>
      </c>
      <c r="P30" t="str">
        <f ca="1">IF(Summary!H31="","",IF(F30=Summary!H31,"Right","Wrong"))</f>
        <v>Wrong</v>
      </c>
    </row>
    <row r="31" spans="1:16" ht="18" customHeight="1" x14ac:dyDescent="0.4">
      <c r="A31" s="4">
        <v>43830</v>
      </c>
      <c r="B31" s="5" t="s">
        <v>89</v>
      </c>
      <c r="C31" s="12" t="s">
        <v>90</v>
      </c>
      <c r="D31" s="13" t="s">
        <v>91</v>
      </c>
      <c r="E31" s="8" t="s">
        <v>91</v>
      </c>
      <c r="F31" s="9">
        <v>21</v>
      </c>
      <c r="G31" s="10" t="str" cm="1">
        <f t="array" ref="G31">IF(ROW(G31)-ROW(G$4)+1&gt;COUNT(I$1:I$40),"",INDEX(H:H,SMALL(I$1:I$40,1+ROW(G31)-ROW(G$4))))</f>
        <v/>
      </c>
      <c r="H31">
        <v>31</v>
      </c>
      <c r="I31" s="1" t="str">
        <f t="shared" si="0"/>
        <v/>
      </c>
      <c r="J31" s="1" t="str" cm="1">
        <f t="array" ref="J31">IF(ROW(G34)-ROW(G$4)+1&gt;COUNT(I$1:I$40),"",INDEX(H:H,SMALL(I$1:I$40,1+ROW(G34)-ROW(G$4))))</f>
        <v/>
      </c>
      <c r="P31" t="str">
        <f ca="1">IF(Summary!H32="","",IF(F31=Summary!H32,"Right","Wrong"))</f>
        <v>Right</v>
      </c>
    </row>
    <row r="32" spans="1:16" ht="18" customHeight="1" x14ac:dyDescent="0.4">
      <c r="A32" s="4">
        <v>43830</v>
      </c>
      <c r="B32" s="5" t="s">
        <v>92</v>
      </c>
      <c r="C32" s="12" t="s">
        <v>93</v>
      </c>
      <c r="D32" s="13" t="s">
        <v>94</v>
      </c>
      <c r="E32" s="8" t="s">
        <v>93</v>
      </c>
      <c r="F32" s="9">
        <v>9</v>
      </c>
      <c r="G32" s="10" t="str" cm="1">
        <f t="array" ref="G32">IF(ROW(G32)-ROW(G$4)+1&gt;COUNT(I$1:I$40),"",INDEX(H:H,SMALL(I$1:I$40,1+ROW(G32)-ROW(G$4))))</f>
        <v/>
      </c>
      <c r="H32">
        <v>32</v>
      </c>
      <c r="I32" s="1" t="str">
        <f t="shared" si="0"/>
        <v/>
      </c>
      <c r="J32" s="1" t="str" cm="1">
        <f t="array" ref="J32">IF(ROW(G35)-ROW(G$4)+1&gt;COUNT(I$1:I$40),"",INDEX(H:H,SMALL(I$1:I$40,1+ROW(G35)-ROW(G$4))))</f>
        <v/>
      </c>
      <c r="P32" t="str">
        <f ca="1">IF(Summary!H33="","",IF(F32=Summary!H33,"Right","Wrong"))</f>
        <v>Right</v>
      </c>
    </row>
    <row r="33" spans="1:16" ht="18" customHeight="1" x14ac:dyDescent="0.4">
      <c r="A33" s="4">
        <v>43830</v>
      </c>
      <c r="B33" s="5" t="s">
        <v>95</v>
      </c>
      <c r="C33" s="12" t="s">
        <v>96</v>
      </c>
      <c r="D33" s="13" t="s">
        <v>97</v>
      </c>
      <c r="E33" s="8" t="s">
        <v>97</v>
      </c>
      <c r="F33" s="9">
        <v>24</v>
      </c>
      <c r="G33" s="10" t="str" cm="1">
        <f t="array" ref="G33">IF(ROW(G33)-ROW(G$4)+1&gt;COUNT(I$1:I$40),"",INDEX(H:H,SMALL(I$1:I$40,1+ROW(G33)-ROW(G$4))))</f>
        <v/>
      </c>
      <c r="H33">
        <v>33</v>
      </c>
      <c r="I33" s="1" t="str">
        <f t="shared" si="0"/>
        <v/>
      </c>
      <c r="J33" s="1" t="str" cm="1">
        <f t="array" ref="J33">IF(ROW(G36)-ROW(G$4)+1&gt;COUNT(I$1:I$40),"",INDEX(H:H,SMALL(I$1:I$40,1+ROW(G36)-ROW(G$4))))</f>
        <v/>
      </c>
      <c r="P33" t="str">
        <f ca="1">IF(Summary!H34="","",IF(F33=Summary!H34,"Right","Wrong"))</f>
        <v>Right</v>
      </c>
    </row>
    <row r="34" spans="1:16" ht="18" customHeight="1" x14ac:dyDescent="0.4">
      <c r="A34" s="4">
        <v>43830</v>
      </c>
      <c r="B34" s="5" t="s">
        <v>98</v>
      </c>
      <c r="C34" s="12" t="s">
        <v>99</v>
      </c>
      <c r="D34" s="13" t="s">
        <v>100</v>
      </c>
      <c r="E34" s="8" t="s">
        <v>99</v>
      </c>
      <c r="F34" s="9">
        <v>26</v>
      </c>
      <c r="G34" s="10" t="str" cm="1">
        <f t="array" ref="G34">IF(ROW(G34)-ROW(G$4)+1&gt;COUNT(I$1:I$40),"",INDEX(H:H,SMALL(I$1:I$40,1+ROW(G34)-ROW(G$4))))</f>
        <v/>
      </c>
      <c r="H34">
        <v>34</v>
      </c>
      <c r="I34" s="1" t="str">
        <f t="shared" si="0"/>
        <v/>
      </c>
      <c r="J34" s="1" t="str" cm="1">
        <f t="array" ref="J34">IF(ROW(G37)-ROW(G$4)+1&gt;COUNT(I$1:I$40),"",INDEX(H:H,SMALL(I$1:I$40,1+ROW(G37)-ROW(G$4))))</f>
        <v/>
      </c>
      <c r="P34" t="str">
        <f ca="1">IF(Summary!H35="","",IF(F34=Summary!H35,"Right","Wrong"))</f>
        <v>Wrong</v>
      </c>
    </row>
    <row r="35" spans="1:16" ht="18" customHeight="1" x14ac:dyDescent="0.4">
      <c r="A35" s="4">
        <v>43466</v>
      </c>
      <c r="B35" s="5" t="s">
        <v>101</v>
      </c>
      <c r="C35" s="12" t="s">
        <v>102</v>
      </c>
      <c r="D35" s="13" t="s">
        <v>103</v>
      </c>
      <c r="E35" s="8" t="s">
        <v>102</v>
      </c>
      <c r="F35" s="9">
        <v>32</v>
      </c>
      <c r="G35" s="10" t="str" cm="1">
        <f t="array" ref="G35">IF(ROW(G35)-ROW(G$4)+1&gt;COUNT(I$1:I$40),"",INDEX(H:H,SMALL(I$1:I$40,1+ROW(G35)-ROW(G$4))))</f>
        <v/>
      </c>
      <c r="H35">
        <v>35</v>
      </c>
      <c r="I35" s="1" t="str">
        <f t="shared" si="0"/>
        <v/>
      </c>
      <c r="J35" s="1" t="str" cm="1">
        <f t="array" ref="J35">IF(ROW(G38)-ROW(G$4)+1&gt;COUNT(I$1:I$40),"",INDEX(H:H,SMALL(I$1:I$40,1+ROW(G38)-ROW(G$4))))</f>
        <v/>
      </c>
      <c r="P35" t="str">
        <f ca="1">IF(Summary!H36="","",IF(F35=Summary!H36,"Right","Wrong"))</f>
        <v>Right</v>
      </c>
    </row>
    <row r="36" spans="1:16" ht="18" customHeight="1" x14ac:dyDescent="0.4">
      <c r="A36" s="4">
        <v>43466</v>
      </c>
      <c r="B36" s="5" t="s">
        <v>104</v>
      </c>
      <c r="C36" s="12" t="s">
        <v>105</v>
      </c>
      <c r="D36" s="13" t="s">
        <v>106</v>
      </c>
      <c r="E36" s="8" t="s">
        <v>105</v>
      </c>
      <c r="F36" s="9">
        <v>34</v>
      </c>
      <c r="G36" s="10" t="str" cm="1">
        <f t="array" ref="G36">IF(ROW(G36)-ROW(G$4)+1&gt;COUNT(I$1:I$40),"",INDEX(H:H,SMALL(I$1:I$40,1+ROW(G36)-ROW(G$4))))</f>
        <v/>
      </c>
      <c r="H36">
        <v>36</v>
      </c>
      <c r="I36" s="1" t="str">
        <f t="shared" si="0"/>
        <v/>
      </c>
      <c r="J36" s="1" t="str" cm="1">
        <f t="array" ref="J36">IF(ROW(G39)-ROW(G$4)+1&gt;COUNT(I$1:I$40),"",INDEX(H:H,SMALL(I$1:I$40,1+ROW(G39)-ROW(G$4))))</f>
        <v/>
      </c>
      <c r="P36" t="str">
        <f ca="1">IF(Summary!H37="","",IF(F36=Summary!H37,"Right","Wrong"))</f>
        <v>Wrong</v>
      </c>
    </row>
    <row r="37" spans="1:16" ht="18" customHeight="1" x14ac:dyDescent="0.4">
      <c r="A37" s="4">
        <v>43466</v>
      </c>
      <c r="B37" s="5" t="s">
        <v>107</v>
      </c>
      <c r="C37" s="12" t="s">
        <v>108</v>
      </c>
      <c r="D37" s="13" t="s">
        <v>109</v>
      </c>
      <c r="E37" s="8" t="s">
        <v>108</v>
      </c>
      <c r="F37" s="9">
        <v>2</v>
      </c>
      <c r="G37" s="10" t="str" cm="1">
        <f t="array" ref="G37">IF(ROW(G37)-ROW(G$4)+1&gt;COUNT(I$1:I$40),"",INDEX(H:H,SMALL(I$1:I$40,1+ROW(G37)-ROW(G$4))))</f>
        <v/>
      </c>
      <c r="H37">
        <v>37</v>
      </c>
      <c r="I37" s="1" t="str">
        <f t="shared" si="0"/>
        <v/>
      </c>
      <c r="J37" s="1" t="str" cm="1">
        <f t="array" ref="J37">IF(ROW(G40)-ROW(G$4)+1&gt;COUNT(I$1:I$40),"",INDEX(H:H,SMALL(I$1:I$40,1+ROW(G40)-ROW(G$4))))</f>
        <v/>
      </c>
      <c r="P37" t="str">
        <f ca="1">IF(Summary!H38="","",IF(F37=Summary!H38,"Right","Wrong"))</f>
        <v>Right</v>
      </c>
    </row>
    <row r="38" spans="1:16" ht="18" customHeight="1" x14ac:dyDescent="0.4">
      <c r="A38" s="4">
        <v>43466</v>
      </c>
      <c r="B38" s="5" t="s">
        <v>110</v>
      </c>
      <c r="C38" s="12" t="s">
        <v>111</v>
      </c>
      <c r="D38" s="13" t="s">
        <v>112</v>
      </c>
      <c r="E38" s="8" t="s">
        <v>112</v>
      </c>
      <c r="F38" s="9">
        <v>3</v>
      </c>
      <c r="G38" s="10" t="str" cm="1">
        <f t="array" ref="G38">IF(ROW(G38)-ROW(G$4)+1&gt;COUNT(I$1:I$40),"",INDEX(H:H,SMALL(I$1:I$40,1+ROW(G38)-ROW(G$4))))</f>
        <v/>
      </c>
      <c r="H38">
        <v>38</v>
      </c>
      <c r="I38" s="1" t="str">
        <f t="shared" si="0"/>
        <v/>
      </c>
      <c r="J38" s="1" t="str" cm="1">
        <f t="array" ref="J38">IF(ROW(G41)-ROW(G$4)+1&gt;COUNT(I$1:I$40),"",INDEX(H:H,SMALL(I$1:I$40,1+ROW(G41)-ROW(G$4))))</f>
        <v/>
      </c>
      <c r="P38" t="str">
        <f ca="1">IF(Summary!H39="","",IF(F38=Summary!H39,"Right","Wrong"))</f>
        <v>Wrong</v>
      </c>
    </row>
    <row r="39" spans="1:16" ht="18" customHeight="1" x14ac:dyDescent="0.4">
      <c r="A39" s="4">
        <v>43467</v>
      </c>
      <c r="B39" s="5" t="s">
        <v>113</v>
      </c>
      <c r="C39" s="12" t="s">
        <v>114</v>
      </c>
      <c r="D39" s="13" t="s">
        <v>115</v>
      </c>
      <c r="E39" s="8" t="s">
        <v>114</v>
      </c>
      <c r="F39" s="9">
        <v>4</v>
      </c>
      <c r="G39" s="10" t="str" cm="1">
        <f t="array" ref="G39">IF(ROW(G39)-ROW(G$4)+1&gt;COUNT(I$1:I$40),"",INDEX(H:H,SMALL(I$1:I$40,1+ROW(G39)-ROW(G$4))))</f>
        <v/>
      </c>
      <c r="H39">
        <v>39</v>
      </c>
      <c r="I39" s="1" t="str">
        <f t="shared" si="0"/>
        <v/>
      </c>
      <c r="J39" s="1" t="str" cm="1">
        <f t="array" ref="J39">IF(ROW(G42)-ROW(G$4)+1&gt;COUNT(I$1:I$40),"",INDEX(H:H,SMALL(I$1:I$40,1+ROW(G42)-ROW(G$4))))</f>
        <v/>
      </c>
      <c r="P39" t="str">
        <f ca="1">IF(Summary!H40="","",IF(F39=Summary!H40,"Right","Wrong"))</f>
        <v>Wrong</v>
      </c>
    </row>
    <row r="40" spans="1:16" ht="18" customHeight="1" x14ac:dyDescent="0.4">
      <c r="A40" s="4">
        <v>43467</v>
      </c>
      <c r="B40" s="5" t="s">
        <v>116</v>
      </c>
      <c r="C40" s="12" t="s">
        <v>117</v>
      </c>
      <c r="D40" s="13" t="s">
        <v>118</v>
      </c>
      <c r="E40" s="8" t="s">
        <v>118</v>
      </c>
      <c r="F40" s="9">
        <v>5</v>
      </c>
      <c r="G40" s="10" t="str" cm="1">
        <f t="array" ref="G40">IF(ROW(G40)-ROW(G$4)+1&gt;COUNT(I$1:I$40),"",INDEX(H:H,SMALL(I$1:I$40,1+ROW(G40)-ROW(G$4))))</f>
        <v/>
      </c>
      <c r="H40">
        <v>40</v>
      </c>
      <c r="I40" s="1" t="str">
        <f t="shared" si="0"/>
        <v/>
      </c>
      <c r="J40" s="1" t="str" cm="1">
        <f t="array" ref="J40">IF(ROW(G43)-ROW(G$4)+1&gt;COUNT(I$1:I$40),"",INDEX(H:H,SMALL(I$1:I$40,1+ROW(G43)-ROW(G$4))))</f>
        <v/>
      </c>
      <c r="P40" t="str">
        <f ca="1">IF(Summary!H41="","",IF(F40=Summary!H41,"Right","Wrong"))</f>
        <v>Wrong</v>
      </c>
    </row>
    <row r="41" spans="1:16" ht="18" customHeight="1" x14ac:dyDescent="0.4">
      <c r="A41" s="4">
        <v>43468</v>
      </c>
      <c r="B41" s="5" t="s">
        <v>119</v>
      </c>
      <c r="C41" s="12" t="s">
        <v>120</v>
      </c>
      <c r="D41" s="13" t="s">
        <v>121</v>
      </c>
      <c r="E41" s="8" t="s">
        <v>120</v>
      </c>
      <c r="F41" s="9">
        <v>6</v>
      </c>
      <c r="G41" s="10" t="str" cm="1">
        <f t="array" ref="G41">IF(ROW(G41)-ROW(G$4)+1&gt;COUNT(I$1:I$40),"",INDEX(H:H,SMALL(I$1:I$40,1+ROW(G41)-ROW(G$4))))</f>
        <v/>
      </c>
      <c r="I41" s="1"/>
      <c r="J41" s="1" t="str" cm="1">
        <f t="array" ref="J41">IF(ROW(G44)-ROW(G$4)+1&gt;COUNT(I$1:I$40),"",INDEX(H:H,SMALL(I$1:I$40,1+ROW(G44)-ROW(G$4))))</f>
        <v/>
      </c>
      <c r="P41" t="str">
        <f ca="1">IF(Summary!H42="","",IF(F41=Summary!H42,"Right","Wrong"))</f>
        <v>Right</v>
      </c>
    </row>
    <row r="42" spans="1:16" ht="18" customHeight="1" x14ac:dyDescent="0.4">
      <c r="A42" s="4">
        <v>43469</v>
      </c>
      <c r="B42" s="5" t="s">
        <v>122</v>
      </c>
      <c r="C42" s="12" t="s">
        <v>123</v>
      </c>
      <c r="D42" s="13" t="s">
        <v>124</v>
      </c>
      <c r="E42" s="8" t="s">
        <v>123</v>
      </c>
      <c r="F42" s="9">
        <v>16</v>
      </c>
      <c r="G42" s="10" t="str" cm="1">
        <f t="array" ref="G42">IF(ROW(G42)-ROW(G$4)+1&gt;COUNT(I$1:I$40),"",INDEX(H:H,SMALL(I$1:I$40,1+ROW(G42)-ROW(G$4))))</f>
        <v/>
      </c>
      <c r="H42" s="14"/>
      <c r="P42" t="str">
        <f ca="1">IF(Summary!H43="","",IF(F42=Summary!H43,"Right","Wrong"))</f>
        <v>Right</v>
      </c>
    </row>
    <row r="43" spans="1:16" ht="18" customHeight="1" thickBot="1" x14ac:dyDescent="0.45">
      <c r="A43" s="15">
        <v>43471</v>
      </c>
      <c r="B43" s="16" t="s">
        <v>125</v>
      </c>
      <c r="C43" s="17" t="s">
        <v>126</v>
      </c>
      <c r="D43" s="18" t="s">
        <v>127</v>
      </c>
      <c r="E43" s="19" t="s">
        <v>126</v>
      </c>
      <c r="F43" s="20">
        <v>35</v>
      </c>
      <c r="G43" s="21" t="str" cm="1">
        <f t="array" ref="G43">IF(ROW(G43)-ROW(G$4)+1&gt;COUNT(I$1:I$40),"",INDEX(H:H,SMALL(I$1:I$40,1+ROW(G43)-ROW(G$4))))</f>
        <v/>
      </c>
      <c r="H43" s="14"/>
      <c r="P43" t="str">
        <f ca="1">IF(Summary!H44="","",IF(F43=Summary!H44,"Right","Wrong"))</f>
        <v>Right</v>
      </c>
    </row>
    <row r="44" spans="1:16" ht="18" customHeight="1" x14ac:dyDescent="0.4">
      <c r="A44" s="22"/>
      <c r="B44" s="104" t="s">
        <v>128</v>
      </c>
      <c r="C44" s="104"/>
      <c r="D44" s="104"/>
      <c r="E44" s="23"/>
      <c r="F44" s="24"/>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49" priority="4">
      <formula>LEN(TRIM(B1))=0</formula>
    </cfRule>
  </conditionalFormatting>
  <conditionalFormatting sqref="F4:F44">
    <cfRule type="duplicateValues" dxfId="48" priority="3"/>
  </conditionalFormatting>
  <conditionalFormatting sqref="P4:P43">
    <cfRule type="cellIs" dxfId="47" priority="1" operator="equal">
      <formula>"Wrong"</formula>
    </cfRule>
    <cfRule type="cellIs" dxfId="46" priority="2" operator="equal">
      <formula>"Right"</formula>
    </cfRule>
  </conditionalFormatting>
  <dataValidations count="3">
    <dataValidation type="list" allowBlank="1" showInputMessage="1" sqref="F4:F43" xr:uid="{3DB32DE1-0C60-4178-8F6C-109E7CE05FF3}">
      <formula1>Confidence_Count</formula1>
    </dataValidation>
    <dataValidation type="list" errorStyle="warning" allowBlank="1" showInputMessage="1" sqref="E4:E43" xr:uid="{CAC39725-1961-4E07-8577-89BAA8ADDFFD}">
      <formula1>$C4:$D4</formula1>
    </dataValidation>
    <dataValidation type="list" allowBlank="1" showInputMessage="1" showErrorMessage="1" sqref="E44" xr:uid="{FD290300-A65D-4F55-B469-D89FDEC1B600}">
      <formula1>"LSU,Ohio State,Clemson,Oklahoma"</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AE1F1-3CCC-4A52-AA90-D5012CB40BD8}">
  <sheetPr codeName="Sheet11"/>
  <dimension ref="A1:S45"/>
  <sheetViews>
    <sheetView showGridLines="0" workbookViewId="0">
      <selection activeCell="P1" sqref="P1:P1048576"/>
    </sheetView>
  </sheetViews>
  <sheetFormatPr defaultColWidth="8.81640625" defaultRowHeight="14.5" x14ac:dyDescent="0.35"/>
  <cols>
    <col min="1" max="1" width="9.1796875" customWidth="1"/>
    <col min="2" max="6" width="19.1796875" customWidth="1"/>
    <col min="7" max="7" width="19.1796875" style="26" customWidth="1"/>
    <col min="8" max="15" width="8.6328125" hidden="1" customWidth="1"/>
    <col min="16" max="16" width="8.7265625"/>
  </cols>
  <sheetData>
    <row r="1" spans="1:19" x14ac:dyDescent="0.35">
      <c r="A1" s="105" t="s">
        <v>0</v>
      </c>
      <c r="B1" s="105" t="s">
        <v>150</v>
      </c>
      <c r="F1" s="107" t="s">
        <v>1</v>
      </c>
      <c r="G1" s="105" t="s">
        <v>145</v>
      </c>
      <c r="H1">
        <v>1</v>
      </c>
      <c r="I1" s="1" t="str">
        <f t="shared" ref="I1:I40" si="0">IF(COUNTIF($F$4:$F$43,H1)&gt;=1,"",ROW())</f>
        <v/>
      </c>
      <c r="J1" s="1" t="str">
        <f t="array" ref="J1">IF(ROW(G4)-ROW(G$4)+1&gt;COUNT(I$1:I$40),"",INDEX(H:H,SMALL(I$1:I$40,1+ROW(G4)-ROW(G$4))))</f>
        <v/>
      </c>
    </row>
    <row r="2" spans="1:19" ht="15" thickBot="1" x14ac:dyDescent="0.4">
      <c r="A2" s="106"/>
      <c r="B2" s="106"/>
      <c r="F2" s="108"/>
      <c r="G2" s="106"/>
      <c r="H2">
        <v>2</v>
      </c>
      <c r="I2" s="1" t="str">
        <f t="shared" si="0"/>
        <v/>
      </c>
      <c r="J2" s="1" t="str">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f t="array" ref="J3">IF(ROW(G6)-ROW(G$4)+1&gt;COUNT(I$1:I$40),"",INDEX(H:H,SMALL(I$1:I$40,1+ROW(G6)-ROW(G$4))))</f>
        <v/>
      </c>
      <c r="P3" t="str">
        <f ca="1">_xlfn.CONCAT(COUNTIF(P4:P43,"Right")&amp;"/"&amp;(COUNTIF(P4:P43,"Right")+COUNTIF(P4:P43,"Wrong")))</f>
        <v>27/40</v>
      </c>
    </row>
    <row r="4" spans="1:19" ht="18" customHeight="1" thickTop="1" x14ac:dyDescent="0.4">
      <c r="A4" s="4">
        <v>43819</v>
      </c>
      <c r="B4" s="5" t="s">
        <v>8</v>
      </c>
      <c r="C4" s="6" t="s">
        <v>9</v>
      </c>
      <c r="D4" s="7" t="s">
        <v>10</v>
      </c>
      <c r="E4" s="8" t="s">
        <v>9</v>
      </c>
      <c r="F4" s="9">
        <v>25</v>
      </c>
      <c r="G4" s="10" t="str">
        <f t="array" ref="G4">IF(ROW(G4)-ROW(G$4)+1&gt;COUNT(I$1:I$40),"",INDEX(H:H,SMALL(I$1:I$40,1+ROW(G4)-ROW(G$4))))</f>
        <v/>
      </c>
      <c r="H4">
        <v>4</v>
      </c>
      <c r="I4" s="1" t="str">
        <f t="shared" si="0"/>
        <v/>
      </c>
      <c r="J4" s="1" t="str">
        <f t="array" ref="J4">IF(ROW(G7)-ROW(G$4)+1&gt;COUNT(I$1:I$40),"",INDEX(H:H,SMALL(I$1:I$40,1+ROW(G7)-ROW(G$4))))</f>
        <v/>
      </c>
      <c r="N4" s="11"/>
      <c r="P4" t="str">
        <f ca="1">IF(Summary!I5="","",IF(F4=Summary!I5,"Right","Wrong"))</f>
        <v>Right</v>
      </c>
    </row>
    <row r="5" spans="1:19" ht="18" customHeight="1" x14ac:dyDescent="0.4">
      <c r="A5" s="4">
        <v>43819</v>
      </c>
      <c r="B5" s="5" t="s">
        <v>11</v>
      </c>
      <c r="C5" s="12" t="s">
        <v>12</v>
      </c>
      <c r="D5" s="13" t="s">
        <v>13</v>
      </c>
      <c r="E5" s="8" t="s">
        <v>12</v>
      </c>
      <c r="F5" s="9">
        <v>30</v>
      </c>
      <c r="G5" s="10" t="str">
        <f t="array" ref="G5">IF(ROW(G5)-ROW(G$4)+1&gt;COUNT(I$1:I$40),"",INDEX(H:H,SMALL(I$1:I$40,1+ROW(G5)-ROW(G$4))))</f>
        <v/>
      </c>
      <c r="H5">
        <v>5</v>
      </c>
      <c r="I5" s="1" t="str">
        <f t="shared" si="0"/>
        <v/>
      </c>
      <c r="J5" s="1" t="str">
        <f t="array" ref="J5">IF(ROW(G8)-ROW(G$4)+1&gt;COUNT(I$1:I$40),"",INDEX(H:H,SMALL(I$1:I$40,1+ROW(G8)-ROW(G$4))))</f>
        <v/>
      </c>
      <c r="P5" t="str">
        <f ca="1">IF(Summary!I6="","",IF(F5=Summary!I6,"Right","Wrong"))</f>
        <v>Wrong</v>
      </c>
    </row>
    <row r="6" spans="1:19" ht="18" customHeight="1" x14ac:dyDescent="0.4">
      <c r="A6" s="4">
        <v>43820</v>
      </c>
      <c r="B6" s="5" t="s">
        <v>14</v>
      </c>
      <c r="C6" s="12" t="s">
        <v>15</v>
      </c>
      <c r="D6" s="13" t="s">
        <v>16</v>
      </c>
      <c r="E6" s="8" t="s">
        <v>15</v>
      </c>
      <c r="F6" s="9">
        <v>1</v>
      </c>
      <c r="G6" s="10" t="str">
        <f t="array" ref="G6">IF(ROW(G6)-ROW(G$4)+1&gt;COUNT(I$1:I$40),"",INDEX(H:H,SMALL(I$1:I$40,1+ROW(G6)-ROW(G$4))))</f>
        <v/>
      </c>
      <c r="H6">
        <v>6</v>
      </c>
      <c r="I6" s="1" t="str">
        <f t="shared" si="0"/>
        <v/>
      </c>
      <c r="J6" s="1" t="str">
        <f t="array" ref="J6">IF(ROW(G9)-ROW(G$4)+1&gt;COUNT(I$1:I$40),"",INDEX(H:H,SMALL(I$1:I$40,1+ROW(G9)-ROW(G$4))))</f>
        <v/>
      </c>
      <c r="N6" t="e">
        <f t="array" aca="1" ref="N6:N45" ca="1">OFFSET([4]Games!$J$1,0,0,COUNTA([4]Games!$J$1:$J$41)-COUNTBLANK([4]Games!$J$1:$J$41),1)</f>
        <v>#VALUE!</v>
      </c>
      <c r="P6" t="str">
        <f ca="1">IF(Summary!I7="","",IF(F6=Summary!I7,"Right","Wrong"))</f>
        <v>Wrong</v>
      </c>
    </row>
    <row r="7" spans="1:19" ht="18" customHeight="1" x14ac:dyDescent="0.4">
      <c r="A7" s="4">
        <v>43820</v>
      </c>
      <c r="B7" s="5" t="s">
        <v>17</v>
      </c>
      <c r="C7" s="12" t="s">
        <v>18</v>
      </c>
      <c r="D7" s="13" t="s">
        <v>19</v>
      </c>
      <c r="E7" s="8" t="s">
        <v>19</v>
      </c>
      <c r="F7" s="9">
        <v>6</v>
      </c>
      <c r="G7" s="10" t="str">
        <f t="array" ref="G7">IF(ROW(G7)-ROW(G$4)+1&gt;COUNT(I$1:I$40),"",INDEX(H:H,SMALL(I$1:I$40,1+ROW(G7)-ROW(G$4))))</f>
        <v/>
      </c>
      <c r="H7">
        <v>7</v>
      </c>
      <c r="I7" s="1" t="str">
        <f t="shared" si="0"/>
        <v/>
      </c>
      <c r="J7" s="1" t="str">
        <f t="array" ref="J7">IF(ROW(G10)-ROW(G$4)+1&gt;COUNT(I$1:I$40),"",INDEX(H:H,SMALL(I$1:I$40,1+ROW(G10)-ROW(G$4))))</f>
        <v/>
      </c>
      <c r="N7" t="e">
        <f ca="1"/>
        <v>#VALUE!</v>
      </c>
      <c r="P7" t="str">
        <f ca="1">IF(Summary!I8="","",IF(F7=Summary!I8,"Right","Wrong"))</f>
        <v>Wrong</v>
      </c>
      <c r="R7" s="103"/>
      <c r="S7" s="103"/>
    </row>
    <row r="8" spans="1:19" ht="18" customHeight="1" x14ac:dyDescent="0.4">
      <c r="A8" s="4">
        <v>43820</v>
      </c>
      <c r="B8" s="5" t="s">
        <v>20</v>
      </c>
      <c r="C8" s="12" t="s">
        <v>21</v>
      </c>
      <c r="D8" s="13" t="s">
        <v>22</v>
      </c>
      <c r="E8" s="8" t="s">
        <v>21</v>
      </c>
      <c r="F8" s="9">
        <v>10</v>
      </c>
      <c r="G8" s="10" t="str">
        <f t="array" ref="G8">IF(ROW(G8)-ROW(G$4)+1&gt;COUNT(I$1:I$40),"",INDEX(H:H,SMALL(I$1:I$40,1+ROW(G8)-ROW(G$4))))</f>
        <v/>
      </c>
      <c r="H8">
        <v>8</v>
      </c>
      <c r="I8" s="1" t="str">
        <f t="shared" si="0"/>
        <v/>
      </c>
      <c r="J8" s="1" t="str">
        <f t="array" ref="J8">IF(ROW(G11)-ROW(G$4)+1&gt;COUNT(I$1:I$40),"",INDEX(H:H,SMALL(I$1:I$40,1+ROW(G11)-ROW(G$4))))</f>
        <v/>
      </c>
      <c r="N8" t="e">
        <f ca="1"/>
        <v>#VALUE!</v>
      </c>
      <c r="P8" t="str">
        <f ca="1">IF(Summary!I9="","",IF(F8=Summary!I9,"Right","Wrong"))</f>
        <v>Wrong</v>
      </c>
      <c r="R8" s="103"/>
      <c r="S8" s="103"/>
    </row>
    <row r="9" spans="1:19" ht="18" customHeight="1" x14ac:dyDescent="0.4">
      <c r="A9" s="4">
        <v>43820</v>
      </c>
      <c r="B9" s="5" t="s">
        <v>23</v>
      </c>
      <c r="C9" s="12" t="s">
        <v>24</v>
      </c>
      <c r="D9" s="13" t="s">
        <v>25</v>
      </c>
      <c r="E9" s="8" t="s">
        <v>24</v>
      </c>
      <c r="F9" s="9">
        <v>29</v>
      </c>
      <c r="G9" s="10" t="str">
        <f t="array" ref="G9">IF(ROW(G9)-ROW(G$4)+1&gt;COUNT(I$1:I$40),"",INDEX(H:H,SMALL(I$1:I$40,1+ROW(G9)-ROW(G$4))))</f>
        <v/>
      </c>
      <c r="H9">
        <v>9</v>
      </c>
      <c r="I9" s="1" t="str">
        <f t="shared" si="0"/>
        <v/>
      </c>
      <c r="J9" s="1" t="str">
        <f t="array" ref="J9">IF(ROW(G12)-ROW(G$4)+1&gt;COUNT(I$1:I$40),"",INDEX(H:H,SMALL(I$1:I$40,1+ROW(G12)-ROW(G$4))))</f>
        <v/>
      </c>
      <c r="N9" t="e">
        <f ca="1"/>
        <v>#VALUE!</v>
      </c>
      <c r="P9" t="str">
        <f ca="1">IF(Summary!I10="","",IF(F9=Summary!I10,"Right","Wrong"))</f>
        <v>Wrong</v>
      </c>
    </row>
    <row r="10" spans="1:19" ht="18" customHeight="1" x14ac:dyDescent="0.4">
      <c r="A10" s="4">
        <v>43820</v>
      </c>
      <c r="B10" s="5" t="s">
        <v>26</v>
      </c>
      <c r="C10" s="12" t="s">
        <v>27</v>
      </c>
      <c r="D10" s="13" t="s">
        <v>28</v>
      </c>
      <c r="E10" s="8" t="s">
        <v>28</v>
      </c>
      <c r="F10" s="9">
        <v>12</v>
      </c>
      <c r="G10" s="10" t="str">
        <f t="array" ref="G10">IF(ROW(G10)-ROW(G$4)+1&gt;COUNT(I$1:I$40),"",INDEX(H:H,SMALL(I$1:I$40,1+ROW(G10)-ROW(G$4))))</f>
        <v/>
      </c>
      <c r="H10">
        <v>10</v>
      </c>
      <c r="I10" s="1" t="str">
        <f t="shared" si="0"/>
        <v/>
      </c>
      <c r="J10" s="1" t="str">
        <f t="array" ref="J10">IF(ROW(G13)-ROW(G$4)+1&gt;COUNT(I$1:I$40),"",INDEX(H:H,SMALL(I$1:I$40,1+ROW(G13)-ROW(G$4))))</f>
        <v/>
      </c>
      <c r="N10" t="e">
        <f ca="1"/>
        <v>#VALUE!</v>
      </c>
      <c r="P10" t="str">
        <f ca="1">IF(Summary!I11="","",IF(F10=Summary!I11,"Right","Wrong"))</f>
        <v>Right</v>
      </c>
    </row>
    <row r="11" spans="1:19" ht="18" customHeight="1" x14ac:dyDescent="0.4">
      <c r="A11" s="4">
        <v>43820</v>
      </c>
      <c r="B11" s="5" t="s">
        <v>29</v>
      </c>
      <c r="C11" s="12" t="s">
        <v>30</v>
      </c>
      <c r="D11" s="13" t="s">
        <v>31</v>
      </c>
      <c r="E11" s="8" t="s">
        <v>30</v>
      </c>
      <c r="F11" s="9">
        <v>4</v>
      </c>
      <c r="G11" s="10" t="str">
        <f t="array" ref="G11">IF(ROW(G11)-ROW(G$4)+1&gt;COUNT(I$1:I$40),"",INDEX(H:H,SMALL(I$1:I$40,1+ROW(G11)-ROW(G$4))))</f>
        <v/>
      </c>
      <c r="H11">
        <v>11</v>
      </c>
      <c r="I11" s="1" t="str">
        <f t="shared" si="0"/>
        <v/>
      </c>
      <c r="J11" s="1" t="str">
        <f t="array" ref="J11">IF(ROW(G14)-ROW(G$4)+1&gt;COUNT(I$1:I$40),"",INDEX(H:H,SMALL(I$1:I$40,1+ROW(G14)-ROW(G$4))))</f>
        <v/>
      </c>
      <c r="N11" t="e">
        <f ca="1"/>
        <v>#VALUE!</v>
      </c>
      <c r="P11" t="str">
        <f ca="1">IF(Summary!I12="","",IF(F11=Summary!I12,"Right","Wrong"))</f>
        <v>Right</v>
      </c>
    </row>
    <row r="12" spans="1:19" ht="18" customHeight="1" x14ac:dyDescent="0.4">
      <c r="A12" s="4">
        <v>43820</v>
      </c>
      <c r="B12" s="5" t="s">
        <v>32</v>
      </c>
      <c r="C12" s="12" t="s">
        <v>33</v>
      </c>
      <c r="D12" s="13" t="s">
        <v>34</v>
      </c>
      <c r="E12" s="8" t="s">
        <v>33</v>
      </c>
      <c r="F12" s="9">
        <v>36</v>
      </c>
      <c r="G12" s="10" t="str">
        <f t="array" ref="G12">IF(ROW(G12)-ROW(G$4)+1&gt;COUNT(I$1:I$40),"",INDEX(H:H,SMALL(I$1:I$40,1+ROW(G12)-ROW(G$4))))</f>
        <v/>
      </c>
      <c r="H12">
        <v>12</v>
      </c>
      <c r="I12" s="1" t="str">
        <f t="shared" si="0"/>
        <v/>
      </c>
      <c r="J12" s="1" t="str">
        <f t="array" ref="J12">IF(ROW(G15)-ROW(G$4)+1&gt;COUNT(I$1:I$40),"",INDEX(H:H,SMALL(I$1:I$40,1+ROW(G15)-ROW(G$4))))</f>
        <v/>
      </c>
      <c r="N12" t="e">
        <f ca="1"/>
        <v>#VALUE!</v>
      </c>
      <c r="P12" t="str">
        <f ca="1">IF(Summary!I13="","",IF(F12=Summary!I13,"Right","Wrong"))</f>
        <v>Right</v>
      </c>
    </row>
    <row r="13" spans="1:19" ht="18" customHeight="1" x14ac:dyDescent="0.4">
      <c r="A13" s="4">
        <v>43822</v>
      </c>
      <c r="B13" s="5" t="s">
        <v>35</v>
      </c>
      <c r="C13" s="12" t="s">
        <v>36</v>
      </c>
      <c r="D13" s="13" t="s">
        <v>37</v>
      </c>
      <c r="E13" s="8" t="s">
        <v>36</v>
      </c>
      <c r="F13" s="9">
        <v>37</v>
      </c>
      <c r="G13" s="10" t="str">
        <f t="array" ref="G13">IF(ROW(G13)-ROW(G$4)+1&gt;COUNT(I$1:I$40),"",INDEX(H:H,SMALL(I$1:I$40,1+ROW(G13)-ROW(G$4))))</f>
        <v/>
      </c>
      <c r="H13">
        <v>13</v>
      </c>
      <c r="I13" s="1" t="str">
        <f t="shared" si="0"/>
        <v/>
      </c>
      <c r="J13" s="1" t="str">
        <f t="array" ref="J13">IF(ROW(G16)-ROW(G$4)+1&gt;COUNT(I$1:I$40),"",INDEX(H:H,SMALL(I$1:I$40,1+ROW(G16)-ROW(G$4))))</f>
        <v/>
      </c>
      <c r="N13" t="e">
        <f ca="1"/>
        <v>#VALUE!</v>
      </c>
      <c r="P13" t="str">
        <f ca="1">IF(Summary!I14="","",IF(F13=Summary!I14,"Right","Wrong"))</f>
        <v>Right</v>
      </c>
    </row>
    <row r="14" spans="1:19" ht="18" customHeight="1" x14ac:dyDescent="0.4">
      <c r="A14" s="4">
        <v>43823</v>
      </c>
      <c r="B14" s="5" t="s">
        <v>38</v>
      </c>
      <c r="C14" s="12" t="s">
        <v>39</v>
      </c>
      <c r="D14" s="13" t="s">
        <v>40</v>
      </c>
      <c r="E14" s="8" t="s">
        <v>39</v>
      </c>
      <c r="F14" s="9">
        <v>21</v>
      </c>
      <c r="G14" s="10" t="str">
        <f t="array" ref="G14">IF(ROW(G14)-ROW(G$4)+1&gt;COUNT(I$1:I$40),"",INDEX(H:H,SMALL(I$1:I$40,1+ROW(G14)-ROW(G$4))))</f>
        <v/>
      </c>
      <c r="H14">
        <v>14</v>
      </c>
      <c r="I14" s="1" t="str">
        <f t="shared" si="0"/>
        <v/>
      </c>
      <c r="J14" s="1" t="str">
        <f t="array" ref="J14">IF(ROW(G17)-ROW(G$4)+1&gt;COUNT(I$1:I$40),"",INDEX(H:H,SMALL(I$1:I$40,1+ROW(G17)-ROW(G$4))))</f>
        <v/>
      </c>
      <c r="N14" t="e">
        <f ca="1"/>
        <v>#VALUE!</v>
      </c>
      <c r="P14" t="str">
        <f ca="1">IF(Summary!I15="","",IF(F14=Summary!I15,"Right","Wrong"))</f>
        <v>Right</v>
      </c>
    </row>
    <row r="15" spans="1:19" ht="18" customHeight="1" x14ac:dyDescent="0.4">
      <c r="A15" s="4">
        <v>43825</v>
      </c>
      <c r="B15" s="5" t="s">
        <v>41</v>
      </c>
      <c r="C15" s="12" t="s">
        <v>42</v>
      </c>
      <c r="D15" s="13" t="s">
        <v>43</v>
      </c>
      <c r="E15" s="8" t="s">
        <v>42</v>
      </c>
      <c r="F15" s="9">
        <v>2</v>
      </c>
      <c r="G15" s="10" t="str">
        <f t="array" ref="G15">IF(ROW(G15)-ROW(G$4)+1&gt;COUNT(I$1:I$40),"",INDEX(H:H,SMALL(I$1:I$40,1+ROW(G15)-ROW(G$4))))</f>
        <v/>
      </c>
      <c r="H15">
        <v>15</v>
      </c>
      <c r="I15" s="1" t="str">
        <f t="shared" si="0"/>
        <v/>
      </c>
      <c r="J15" s="1" t="str">
        <f t="array" ref="J15">IF(ROW(G18)-ROW(G$4)+1&gt;COUNT(I$1:I$40),"",INDEX(H:H,SMALL(I$1:I$40,1+ROW(G18)-ROW(G$4))))</f>
        <v/>
      </c>
      <c r="N15" t="e">
        <f ca="1"/>
        <v>#VALUE!</v>
      </c>
      <c r="P15" t="str">
        <f ca="1">IF(Summary!I16="","",IF(F15=Summary!I16,"Right","Wrong"))</f>
        <v>Wrong</v>
      </c>
    </row>
    <row r="16" spans="1:19" ht="18" customHeight="1" x14ac:dyDescent="0.4">
      <c r="A16" s="4">
        <v>43825</v>
      </c>
      <c r="B16" s="5" t="s">
        <v>44</v>
      </c>
      <c r="C16" s="12" t="s">
        <v>45</v>
      </c>
      <c r="D16" s="13" t="s">
        <v>46</v>
      </c>
      <c r="E16" s="8" t="s">
        <v>45</v>
      </c>
      <c r="F16" s="9">
        <v>31</v>
      </c>
      <c r="G16" s="10" t="str">
        <f t="array" ref="G16">IF(ROW(G16)-ROW(G$4)+1&gt;COUNT(I$1:I$40),"",INDEX(H:H,SMALL(I$1:I$40,1+ROW(G16)-ROW(G$4))))</f>
        <v/>
      </c>
      <c r="H16">
        <v>16</v>
      </c>
      <c r="I16" s="1" t="str">
        <f t="shared" si="0"/>
        <v/>
      </c>
      <c r="J16" s="1" t="str">
        <f t="array" ref="J16">IF(ROW(G19)-ROW(G$4)+1&gt;COUNT(I$1:I$40),"",INDEX(H:H,SMALL(I$1:I$40,1+ROW(G19)-ROW(G$4))))</f>
        <v/>
      </c>
      <c r="N16" t="e">
        <f ca="1"/>
        <v>#VALUE!</v>
      </c>
      <c r="P16" t="str">
        <f ca="1">IF(Summary!I17="","",IF(F16=Summary!I17,"Right","Wrong"))</f>
        <v>Right</v>
      </c>
    </row>
    <row r="17" spans="1:16" ht="18" customHeight="1" x14ac:dyDescent="0.4">
      <c r="A17" s="4">
        <v>43826</v>
      </c>
      <c r="B17" s="5" t="s">
        <v>47</v>
      </c>
      <c r="C17" s="12" t="s">
        <v>48</v>
      </c>
      <c r="D17" s="13" t="s">
        <v>49</v>
      </c>
      <c r="E17" s="8" t="s">
        <v>48</v>
      </c>
      <c r="F17" s="9">
        <v>7</v>
      </c>
      <c r="G17" s="10" t="str">
        <f t="array" ref="G17">IF(ROW(G17)-ROW(G$4)+1&gt;COUNT(I$1:I$40),"",INDEX(H:H,SMALL(I$1:I$40,1+ROW(G17)-ROW(G$4))))</f>
        <v/>
      </c>
      <c r="H17">
        <v>17</v>
      </c>
      <c r="I17" s="1" t="str">
        <f t="shared" si="0"/>
        <v/>
      </c>
      <c r="J17" s="1" t="str">
        <f t="array" ref="J17">IF(ROW(G20)-ROW(G$4)+1&gt;COUNT(I$1:I$40),"",INDEX(H:H,SMALL(I$1:I$40,1+ROW(G20)-ROW(G$4))))</f>
        <v/>
      </c>
      <c r="N17" t="e">
        <f ca="1"/>
        <v>#VALUE!</v>
      </c>
      <c r="P17" t="str">
        <f ca="1">IF(Summary!I18="","",IF(F17=Summary!I18,"Right","Wrong"))</f>
        <v>Right</v>
      </c>
    </row>
    <row r="18" spans="1:16" ht="18" customHeight="1" x14ac:dyDescent="0.4">
      <c r="A18" s="4">
        <v>43826</v>
      </c>
      <c r="B18" s="5" t="s">
        <v>50</v>
      </c>
      <c r="C18" s="12" t="s">
        <v>51</v>
      </c>
      <c r="D18" s="13" t="s">
        <v>52</v>
      </c>
      <c r="E18" s="8" t="s">
        <v>51</v>
      </c>
      <c r="F18" s="9">
        <v>11</v>
      </c>
      <c r="G18" s="10" t="str">
        <f t="array" ref="G18">IF(ROW(G18)-ROW(G$4)+1&gt;COUNT(I$1:I$40),"",INDEX(H:H,SMALL(I$1:I$40,1+ROW(G18)-ROW(G$4))))</f>
        <v/>
      </c>
      <c r="H18">
        <v>18</v>
      </c>
      <c r="I18" s="1" t="str">
        <f t="shared" si="0"/>
        <v/>
      </c>
      <c r="J18" s="1" t="str">
        <f t="array" ref="J18">IF(ROW(G21)-ROW(G$4)+1&gt;COUNT(I$1:I$40),"",INDEX(H:H,SMALL(I$1:I$40,1+ROW(G21)-ROW(G$4))))</f>
        <v/>
      </c>
      <c r="N18" t="e">
        <f ca="1"/>
        <v>#VALUE!</v>
      </c>
      <c r="P18" t="str">
        <f ca="1">IF(Summary!I19="","",IF(F18=Summary!I19,"Right","Wrong"))</f>
        <v>Wrong</v>
      </c>
    </row>
    <row r="19" spans="1:16" ht="18" customHeight="1" x14ac:dyDescent="0.4">
      <c r="A19" s="4">
        <v>43826</v>
      </c>
      <c r="B19" s="5" t="s">
        <v>53</v>
      </c>
      <c r="C19" s="12" t="s">
        <v>54</v>
      </c>
      <c r="D19" s="13" t="s">
        <v>55</v>
      </c>
      <c r="E19" s="8" t="s">
        <v>54</v>
      </c>
      <c r="F19" s="9">
        <v>8</v>
      </c>
      <c r="G19" s="10" t="str">
        <f t="array" ref="G19">IF(ROW(G19)-ROW(G$4)+1&gt;COUNT(I$1:I$40),"",INDEX(H:H,SMALL(I$1:I$40,1+ROW(G19)-ROW(G$4))))</f>
        <v/>
      </c>
      <c r="H19">
        <v>19</v>
      </c>
      <c r="I19" s="1" t="str">
        <f t="shared" si="0"/>
        <v/>
      </c>
      <c r="J19" s="1" t="str">
        <f t="array" ref="J19">IF(ROW(G22)-ROW(G$4)+1&gt;COUNT(I$1:I$40),"",INDEX(H:H,SMALL(I$1:I$40,1+ROW(G22)-ROW(G$4))))</f>
        <v/>
      </c>
      <c r="N19" t="e">
        <f ca="1"/>
        <v>#VALUE!</v>
      </c>
      <c r="P19" t="str">
        <f ca="1">IF(Summary!I20="","",IF(F19=Summary!I20,"Right","Wrong"))</f>
        <v>Wrong</v>
      </c>
    </row>
    <row r="20" spans="1:16" ht="18" customHeight="1" x14ac:dyDescent="0.4">
      <c r="A20" s="4">
        <v>43826</v>
      </c>
      <c r="B20" s="5" t="s">
        <v>56</v>
      </c>
      <c r="C20" s="12" t="s">
        <v>57</v>
      </c>
      <c r="D20" s="13" t="s">
        <v>58</v>
      </c>
      <c r="E20" s="8" t="s">
        <v>58</v>
      </c>
      <c r="F20" s="9">
        <v>3</v>
      </c>
      <c r="G20" s="10" t="str">
        <f t="array" ref="G20">IF(ROW(G20)-ROW(G$4)+1&gt;COUNT(I$1:I$40),"",INDEX(H:H,SMALL(I$1:I$40,1+ROW(G20)-ROW(G$4))))</f>
        <v/>
      </c>
      <c r="H20">
        <v>20</v>
      </c>
      <c r="I20" s="1" t="str">
        <f t="shared" si="0"/>
        <v/>
      </c>
      <c r="J20" s="1" t="str">
        <f t="array" ref="J20">IF(ROW(G23)-ROW(G$4)+1&gt;COUNT(I$1:I$40),"",INDEX(H:H,SMALL(I$1:I$40,1+ROW(G23)-ROW(G$4))))</f>
        <v/>
      </c>
      <c r="N20" t="e">
        <f ca="1"/>
        <v>#VALUE!</v>
      </c>
      <c r="P20" t="str">
        <f ca="1">IF(Summary!I21="","",IF(F20=Summary!I21,"Right","Wrong"))</f>
        <v>Right</v>
      </c>
    </row>
    <row r="21" spans="1:16" ht="18" customHeight="1" x14ac:dyDescent="0.4">
      <c r="A21" s="4">
        <v>43826</v>
      </c>
      <c r="B21" s="5" t="s">
        <v>59</v>
      </c>
      <c r="C21" s="12" t="s">
        <v>60</v>
      </c>
      <c r="D21" s="13" t="s">
        <v>61</v>
      </c>
      <c r="E21" s="8" t="s">
        <v>60</v>
      </c>
      <c r="F21" s="9">
        <v>5</v>
      </c>
      <c r="G21" s="10" t="str">
        <f t="array" ref="G21">IF(ROW(G21)-ROW(G$4)+1&gt;COUNT(I$1:I$40),"",INDEX(H:H,SMALL(I$1:I$40,1+ROW(G21)-ROW(G$4))))</f>
        <v/>
      </c>
      <c r="H21">
        <v>21</v>
      </c>
      <c r="I21" s="1" t="str">
        <f t="shared" si="0"/>
        <v/>
      </c>
      <c r="J21" s="1" t="str">
        <f t="array" ref="J21">IF(ROW(G24)-ROW(G$4)+1&gt;COUNT(I$1:I$40),"",INDEX(H:H,SMALL(I$1:I$40,1+ROW(G24)-ROW(G$4))))</f>
        <v/>
      </c>
      <c r="N21" t="e">
        <f ca="1"/>
        <v>#VALUE!</v>
      </c>
      <c r="P21" t="str">
        <f ca="1">IF(Summary!I22="","",IF(F21=Summary!I22,"Right","Wrong"))</f>
        <v>Right</v>
      </c>
    </row>
    <row r="22" spans="1:16" ht="18" customHeight="1" x14ac:dyDescent="0.4">
      <c r="A22" s="4">
        <v>43827</v>
      </c>
      <c r="B22" s="5" t="s">
        <v>62</v>
      </c>
      <c r="C22" s="12" t="s">
        <v>63</v>
      </c>
      <c r="D22" s="13" t="s">
        <v>64</v>
      </c>
      <c r="E22" s="8" t="s">
        <v>63</v>
      </c>
      <c r="F22" s="9">
        <v>38</v>
      </c>
      <c r="G22" s="10" t="str">
        <f t="array" ref="G22">IF(ROW(G22)-ROW(G$4)+1&gt;COUNT(I$1:I$40),"",INDEX(H:H,SMALL(I$1:I$40,1+ROW(G22)-ROW(G$4))))</f>
        <v/>
      </c>
      <c r="H22">
        <v>22</v>
      </c>
      <c r="I22" s="1" t="str">
        <f t="shared" si="0"/>
        <v/>
      </c>
      <c r="J22" s="1" t="str">
        <f t="array" ref="J22">IF(ROW(G25)-ROW(G$4)+1&gt;COUNT(I$1:I$40),"",INDEX(H:H,SMALL(I$1:I$40,1+ROW(G25)-ROW(G$4))))</f>
        <v/>
      </c>
      <c r="N22" t="e">
        <f ca="1"/>
        <v>#VALUE!</v>
      </c>
      <c r="P22" t="str">
        <f ca="1">IF(Summary!I23="","",IF(F22=Summary!I23,"Right","Wrong"))</f>
        <v>Right</v>
      </c>
    </row>
    <row r="23" spans="1:16" ht="18" customHeight="1" x14ac:dyDescent="0.4">
      <c r="A23" s="4">
        <v>43827</v>
      </c>
      <c r="B23" s="5" t="s">
        <v>65</v>
      </c>
      <c r="C23" s="12" t="s">
        <v>66</v>
      </c>
      <c r="D23" s="13" t="s">
        <v>67</v>
      </c>
      <c r="E23" s="8" t="s">
        <v>66</v>
      </c>
      <c r="F23" s="9">
        <v>34</v>
      </c>
      <c r="G23" s="10" t="str">
        <f t="array" ref="G23">IF(ROW(G23)-ROW(G$4)+1&gt;COUNT(I$1:I$40),"",INDEX(H:H,SMALL(I$1:I$40,1+ROW(G23)-ROW(G$4))))</f>
        <v/>
      </c>
      <c r="H23">
        <v>23</v>
      </c>
      <c r="I23" s="1" t="str">
        <f t="shared" si="0"/>
        <v/>
      </c>
      <c r="J23" s="1" t="str">
        <f t="array" ref="J23">IF(ROW(G26)-ROW(G$4)+1&gt;COUNT(I$1:I$40),"",INDEX(H:H,SMALL(I$1:I$40,1+ROW(G26)-ROW(G$4))))</f>
        <v/>
      </c>
      <c r="N23" t="e">
        <f ca="1"/>
        <v>#VALUE!</v>
      </c>
      <c r="P23" t="str">
        <f ca="1">IF(Summary!I24="","",IF(F23=Summary!I24,"Right","Wrong"))</f>
        <v>Right</v>
      </c>
    </row>
    <row r="24" spans="1:16" ht="18" customHeight="1" x14ac:dyDescent="0.4">
      <c r="A24" s="4">
        <v>43827</v>
      </c>
      <c r="B24" s="5" t="s">
        <v>68</v>
      </c>
      <c r="C24" s="12" t="s">
        <v>69</v>
      </c>
      <c r="D24" s="13" t="s">
        <v>70</v>
      </c>
      <c r="E24" s="8" t="s">
        <v>69</v>
      </c>
      <c r="F24" s="9">
        <v>35</v>
      </c>
      <c r="G24" s="10" t="str">
        <f t="array" ref="G24">IF(ROW(G24)-ROW(G$4)+1&gt;COUNT(I$1:I$40),"",INDEX(H:H,SMALL(I$1:I$40,1+ROW(G24)-ROW(G$4))))</f>
        <v/>
      </c>
      <c r="H24">
        <v>24</v>
      </c>
      <c r="I24" s="1" t="str">
        <f t="shared" si="0"/>
        <v/>
      </c>
      <c r="J24" s="1" t="str">
        <f t="array" ref="J24">IF(ROW(G27)-ROW(G$4)+1&gt;COUNT(I$1:I$40),"",INDEX(H:H,SMALL(I$1:I$40,1+ROW(G27)-ROW(G$4))))</f>
        <v/>
      </c>
      <c r="N24" t="e">
        <f ca="1"/>
        <v>#VALUE!</v>
      </c>
      <c r="P24" t="str">
        <f ca="1">IF(Summary!I25="","",IF(F24=Summary!I25,"Right","Wrong"))</f>
        <v>Right</v>
      </c>
    </row>
    <row r="25" spans="1:16" ht="18" customHeight="1" x14ac:dyDescent="0.4">
      <c r="A25" s="4">
        <v>43827</v>
      </c>
      <c r="B25" s="5" t="s">
        <v>71</v>
      </c>
      <c r="C25" s="12" t="s">
        <v>72</v>
      </c>
      <c r="D25" s="13" t="s">
        <v>73</v>
      </c>
      <c r="E25" s="8" t="s">
        <v>73</v>
      </c>
      <c r="F25" s="9">
        <v>23</v>
      </c>
      <c r="G25" s="10" t="str">
        <f t="array" ref="G25">IF(ROW(G25)-ROW(G$4)+1&gt;COUNT(I$1:I$40),"",INDEX(H:H,SMALL(I$1:I$40,1+ROW(G25)-ROW(G$4))))</f>
        <v/>
      </c>
      <c r="H25">
        <v>25</v>
      </c>
      <c r="I25" s="1" t="str">
        <f t="shared" si="0"/>
        <v/>
      </c>
      <c r="J25" s="1" t="str">
        <f t="array" ref="J25">IF(ROW(G28)-ROW(G$4)+1&gt;COUNT(I$1:I$40),"",INDEX(H:H,SMALL(I$1:I$40,1+ROW(G28)-ROW(G$4))))</f>
        <v/>
      </c>
      <c r="N25" t="e">
        <f ca="1"/>
        <v>#VALUE!</v>
      </c>
      <c r="P25" t="str">
        <f ca="1">IF(Summary!I26="","",IF(F25=Summary!I26,"Right","Wrong"))</f>
        <v>Right</v>
      </c>
    </row>
    <row r="26" spans="1:16" ht="18" customHeight="1" x14ac:dyDescent="0.4">
      <c r="A26" s="4">
        <v>43829</v>
      </c>
      <c r="B26" s="5" t="s">
        <v>74</v>
      </c>
      <c r="C26" s="12" t="s">
        <v>75</v>
      </c>
      <c r="D26" s="13" t="s">
        <v>76</v>
      </c>
      <c r="E26" s="8" t="s">
        <v>75</v>
      </c>
      <c r="F26" s="9">
        <v>18</v>
      </c>
      <c r="G26" s="10" t="str">
        <f t="array" ref="G26">IF(ROW(G26)-ROW(G$4)+1&gt;COUNT(I$1:I$40),"",INDEX(H:H,SMALL(I$1:I$40,1+ROW(G26)-ROW(G$4))))</f>
        <v/>
      </c>
      <c r="H26">
        <v>26</v>
      </c>
      <c r="I26" s="1" t="str">
        <f t="shared" si="0"/>
        <v/>
      </c>
      <c r="J26" s="1" t="str">
        <f t="array" ref="J26">IF(ROW(G29)-ROW(G$4)+1&gt;COUNT(I$1:I$40),"",INDEX(H:H,SMALL(I$1:I$40,1+ROW(G29)-ROW(G$4))))</f>
        <v/>
      </c>
      <c r="N26" t="e">
        <f ca="1"/>
        <v>#VALUE!</v>
      </c>
      <c r="P26" t="str">
        <f ca="1">IF(Summary!I27="","",IF(F26=Summary!I27,"Right","Wrong"))</f>
        <v>Right</v>
      </c>
    </row>
    <row r="27" spans="1:16" ht="18" customHeight="1" x14ac:dyDescent="0.4">
      <c r="A27" s="4">
        <v>43829</v>
      </c>
      <c r="B27" s="5" t="s">
        <v>77</v>
      </c>
      <c r="C27" s="12" t="s">
        <v>78</v>
      </c>
      <c r="D27" s="13" t="s">
        <v>151</v>
      </c>
      <c r="E27" s="8" t="s">
        <v>78</v>
      </c>
      <c r="F27" s="9">
        <v>14</v>
      </c>
      <c r="G27" s="10" t="str">
        <f t="array" ref="G27">IF(ROW(G27)-ROW(G$4)+1&gt;COUNT(I$1:I$40),"",INDEX(H:H,SMALL(I$1:I$40,1+ROW(G27)-ROW(G$4))))</f>
        <v/>
      </c>
      <c r="H27">
        <v>27</v>
      </c>
      <c r="I27" s="1" t="str">
        <f t="shared" si="0"/>
        <v/>
      </c>
      <c r="J27" s="1" t="str">
        <f t="array" ref="J27">IF(ROW(G30)-ROW(G$4)+1&gt;COUNT(I$1:I$40),"",INDEX(H:H,SMALL(I$1:I$40,1+ROW(G30)-ROW(G$4))))</f>
        <v/>
      </c>
      <c r="N27" t="e">
        <f ca="1"/>
        <v>#VALUE!</v>
      </c>
      <c r="P27" t="str">
        <f ca="1">IF(Summary!I28="","",IF(F27=Summary!I28,"Right","Wrong"))</f>
        <v>Wrong</v>
      </c>
    </row>
    <row r="28" spans="1:16" ht="18" customHeight="1" x14ac:dyDescent="0.4">
      <c r="A28" s="4">
        <v>43829</v>
      </c>
      <c r="B28" s="5" t="s">
        <v>80</v>
      </c>
      <c r="C28" s="12" t="s">
        <v>81</v>
      </c>
      <c r="D28" s="13" t="s">
        <v>82</v>
      </c>
      <c r="E28" s="8" t="s">
        <v>82</v>
      </c>
      <c r="F28" s="9">
        <v>17</v>
      </c>
      <c r="G28" s="10" t="str">
        <f t="array" ref="G28">IF(ROW(G28)-ROW(G$4)+1&gt;COUNT(I$1:I$40),"",INDEX(H:H,SMALL(I$1:I$40,1+ROW(G28)-ROW(G$4))))</f>
        <v/>
      </c>
      <c r="H28">
        <v>28</v>
      </c>
      <c r="I28" s="1" t="str">
        <f t="shared" si="0"/>
        <v/>
      </c>
      <c r="J28" s="1" t="str">
        <f t="array" ref="J28">IF(ROW(G31)-ROW(G$4)+1&gt;COUNT(I$1:I$40),"",INDEX(H:H,SMALL(I$1:I$40,1+ROW(G31)-ROW(G$4))))</f>
        <v/>
      </c>
      <c r="N28" t="e">
        <f ca="1"/>
        <v>#VALUE!</v>
      </c>
      <c r="P28" t="str">
        <f ca="1">IF(Summary!I29="","",IF(F28=Summary!I29,"Right","Wrong"))</f>
        <v>Right</v>
      </c>
    </row>
    <row r="29" spans="1:16" ht="18" customHeight="1" x14ac:dyDescent="0.4">
      <c r="A29" s="4">
        <v>43829</v>
      </c>
      <c r="B29" s="5" t="s">
        <v>83</v>
      </c>
      <c r="C29" s="12" t="s">
        <v>84</v>
      </c>
      <c r="D29" s="13" t="s">
        <v>85</v>
      </c>
      <c r="E29" s="8" t="s">
        <v>84</v>
      </c>
      <c r="F29" s="9">
        <v>40</v>
      </c>
      <c r="G29" s="10" t="str">
        <f t="array" ref="G29">IF(ROW(G29)-ROW(G$4)+1&gt;COUNT(I$1:I$40),"",INDEX(H:H,SMALL(I$1:I$40,1+ROW(G29)-ROW(G$4))))</f>
        <v/>
      </c>
      <c r="H29">
        <v>29</v>
      </c>
      <c r="I29" s="1" t="str">
        <f t="shared" si="0"/>
        <v/>
      </c>
      <c r="J29" s="1" t="str">
        <f t="array" ref="J29">IF(ROW(G32)-ROW(G$4)+1&gt;COUNT(I$1:I$40),"",INDEX(H:H,SMALL(I$1:I$40,1+ROW(G32)-ROW(G$4))))</f>
        <v/>
      </c>
      <c r="N29" t="e">
        <f ca="1"/>
        <v>#VALUE!</v>
      </c>
      <c r="P29" t="str">
        <f ca="1">IF(Summary!I30="","",IF(F29=Summary!I30,"Right","Wrong"))</f>
        <v>Right</v>
      </c>
    </row>
    <row r="30" spans="1:16" ht="18" customHeight="1" x14ac:dyDescent="0.4">
      <c r="A30" s="4">
        <v>43830</v>
      </c>
      <c r="B30" s="5" t="s">
        <v>86</v>
      </c>
      <c r="C30" s="12" t="s">
        <v>87</v>
      </c>
      <c r="D30" s="13" t="s">
        <v>88</v>
      </c>
      <c r="E30" s="8" t="s">
        <v>87</v>
      </c>
      <c r="F30" s="9">
        <v>20</v>
      </c>
      <c r="G30" s="10" t="str">
        <f t="array" ref="G30">IF(ROW(G30)-ROW(G$4)+1&gt;COUNT(I$1:I$40),"",INDEX(H:H,SMALL(I$1:I$40,1+ROW(G30)-ROW(G$4))))</f>
        <v/>
      </c>
      <c r="H30">
        <v>30</v>
      </c>
      <c r="I30" s="1" t="str">
        <f t="shared" si="0"/>
        <v/>
      </c>
      <c r="J30" s="1" t="str">
        <f t="array" ref="J30">IF(ROW(G33)-ROW(G$4)+1&gt;COUNT(I$1:I$40),"",INDEX(H:H,SMALL(I$1:I$40,1+ROW(G33)-ROW(G$4))))</f>
        <v/>
      </c>
      <c r="N30" t="e">
        <f ca="1"/>
        <v>#VALUE!</v>
      </c>
      <c r="P30" t="str">
        <f ca="1">IF(Summary!I31="","",IF(F30=Summary!I31,"Right","Wrong"))</f>
        <v>Right</v>
      </c>
    </row>
    <row r="31" spans="1:16" ht="18" customHeight="1" x14ac:dyDescent="0.4">
      <c r="A31" s="4">
        <v>43830</v>
      </c>
      <c r="B31" s="5" t="s">
        <v>89</v>
      </c>
      <c r="C31" s="12" t="s">
        <v>90</v>
      </c>
      <c r="D31" s="13" t="s">
        <v>91</v>
      </c>
      <c r="E31" s="8" t="s">
        <v>91</v>
      </c>
      <c r="F31" s="9">
        <v>28</v>
      </c>
      <c r="G31" s="10" t="str">
        <f t="array" ref="G31">IF(ROW(G31)-ROW(G$4)+1&gt;COUNT(I$1:I$40),"",INDEX(H:H,SMALL(I$1:I$40,1+ROW(G31)-ROW(G$4))))</f>
        <v/>
      </c>
      <c r="H31">
        <v>31</v>
      </c>
      <c r="I31" s="1" t="str">
        <f t="shared" si="0"/>
        <v/>
      </c>
      <c r="J31" s="1" t="str">
        <f t="array" ref="J31">IF(ROW(G34)-ROW(G$4)+1&gt;COUNT(I$1:I$40),"",INDEX(H:H,SMALL(I$1:I$40,1+ROW(G34)-ROW(G$4))))</f>
        <v/>
      </c>
      <c r="N31" t="e">
        <f ca="1"/>
        <v>#VALUE!</v>
      </c>
      <c r="P31" t="str">
        <f ca="1">IF(Summary!I32="","",IF(F31=Summary!I32,"Right","Wrong"))</f>
        <v>Right</v>
      </c>
    </row>
    <row r="32" spans="1:16" ht="18" customHeight="1" x14ac:dyDescent="0.4">
      <c r="A32" s="4">
        <v>43830</v>
      </c>
      <c r="B32" s="5" t="s">
        <v>92</v>
      </c>
      <c r="C32" s="12" t="s">
        <v>93</v>
      </c>
      <c r="D32" s="13" t="s">
        <v>94</v>
      </c>
      <c r="E32" s="8" t="s">
        <v>93</v>
      </c>
      <c r="F32" s="9">
        <v>26</v>
      </c>
      <c r="G32" s="10" t="str">
        <f t="array" ref="G32">IF(ROW(G32)-ROW(G$4)+1&gt;COUNT(I$1:I$40),"",INDEX(H:H,SMALL(I$1:I$40,1+ROW(G32)-ROW(G$4))))</f>
        <v/>
      </c>
      <c r="H32">
        <v>32</v>
      </c>
      <c r="I32" s="1" t="str">
        <f t="shared" si="0"/>
        <v/>
      </c>
      <c r="J32" s="1" t="str">
        <f t="array" ref="J32">IF(ROW(G35)-ROW(G$4)+1&gt;COUNT(I$1:I$40),"",INDEX(H:H,SMALL(I$1:I$40,1+ROW(G35)-ROW(G$4))))</f>
        <v/>
      </c>
      <c r="N32" t="e">
        <f ca="1"/>
        <v>#VALUE!</v>
      </c>
      <c r="P32" t="str">
        <f ca="1">IF(Summary!I33="","",IF(F32=Summary!I33,"Right","Wrong"))</f>
        <v>Right</v>
      </c>
    </row>
    <row r="33" spans="1:16" ht="18" customHeight="1" x14ac:dyDescent="0.4">
      <c r="A33" s="4">
        <v>43830</v>
      </c>
      <c r="B33" s="5" t="s">
        <v>95</v>
      </c>
      <c r="C33" s="12" t="s">
        <v>96</v>
      </c>
      <c r="D33" s="13" t="s">
        <v>97</v>
      </c>
      <c r="E33" s="8" t="s">
        <v>97</v>
      </c>
      <c r="F33" s="9">
        <v>19</v>
      </c>
      <c r="G33" s="10" t="str">
        <f t="array" ref="G33">IF(ROW(G33)-ROW(G$4)+1&gt;COUNT(I$1:I$40),"",INDEX(H:H,SMALL(I$1:I$40,1+ROW(G33)-ROW(G$4))))</f>
        <v/>
      </c>
      <c r="H33">
        <v>33</v>
      </c>
      <c r="I33" s="1" t="str">
        <f t="shared" si="0"/>
        <v/>
      </c>
      <c r="J33" s="1" t="str">
        <f t="array" ref="J33">IF(ROW(G36)-ROW(G$4)+1&gt;COUNT(I$1:I$40),"",INDEX(H:H,SMALL(I$1:I$40,1+ROW(G36)-ROW(G$4))))</f>
        <v/>
      </c>
      <c r="N33" t="e">
        <f ca="1"/>
        <v>#VALUE!</v>
      </c>
      <c r="P33" t="str">
        <f ca="1">IF(Summary!I34="","",IF(F33=Summary!I34,"Right","Wrong"))</f>
        <v>Right</v>
      </c>
    </row>
    <row r="34" spans="1:16" ht="18" customHeight="1" x14ac:dyDescent="0.4">
      <c r="A34" s="4">
        <v>43830</v>
      </c>
      <c r="B34" s="5" t="s">
        <v>98</v>
      </c>
      <c r="C34" s="12" t="s">
        <v>99</v>
      </c>
      <c r="D34" s="13" t="s">
        <v>100</v>
      </c>
      <c r="E34" s="8" t="s">
        <v>99</v>
      </c>
      <c r="F34" s="9">
        <v>9</v>
      </c>
      <c r="G34" s="10" t="str">
        <f t="array" ref="G34">IF(ROW(G34)-ROW(G$4)+1&gt;COUNT(I$1:I$40),"",INDEX(H:H,SMALL(I$1:I$40,1+ROW(G34)-ROW(G$4))))</f>
        <v/>
      </c>
      <c r="H34">
        <v>34</v>
      </c>
      <c r="I34" s="1" t="str">
        <f t="shared" si="0"/>
        <v/>
      </c>
      <c r="J34" s="1" t="str">
        <f t="array" ref="J34">IF(ROW(G37)-ROW(G$4)+1&gt;COUNT(I$1:I$40),"",INDEX(H:H,SMALL(I$1:I$40,1+ROW(G37)-ROW(G$4))))</f>
        <v/>
      </c>
      <c r="N34" t="e">
        <f ca="1"/>
        <v>#VALUE!</v>
      </c>
      <c r="P34" t="str">
        <f ca="1">IF(Summary!I35="","",IF(F34=Summary!I35,"Right","Wrong"))</f>
        <v>Wrong</v>
      </c>
    </row>
    <row r="35" spans="1:16" ht="18" customHeight="1" x14ac:dyDescent="0.4">
      <c r="A35" s="4">
        <v>43466</v>
      </c>
      <c r="B35" s="5" t="s">
        <v>101</v>
      </c>
      <c r="C35" s="12" t="s">
        <v>102</v>
      </c>
      <c r="D35" s="13" t="s">
        <v>103</v>
      </c>
      <c r="E35" s="8" t="s">
        <v>102</v>
      </c>
      <c r="F35" s="9">
        <v>33</v>
      </c>
      <c r="G35" s="10" t="str">
        <f t="array" ref="G35">IF(ROW(G35)-ROW(G$4)+1&gt;COUNT(I$1:I$40),"",INDEX(H:H,SMALL(I$1:I$40,1+ROW(G35)-ROW(G$4))))</f>
        <v/>
      </c>
      <c r="H35">
        <v>35</v>
      </c>
      <c r="I35" s="1" t="str">
        <f t="shared" si="0"/>
        <v/>
      </c>
      <c r="J35" s="1" t="str">
        <f t="array" ref="J35">IF(ROW(G38)-ROW(G$4)+1&gt;COUNT(I$1:I$40),"",INDEX(H:H,SMALL(I$1:I$40,1+ROW(G38)-ROW(G$4))))</f>
        <v/>
      </c>
      <c r="N35" t="e">
        <f ca="1"/>
        <v>#VALUE!</v>
      </c>
      <c r="P35" t="str">
        <f ca="1">IF(Summary!I36="","",IF(F35=Summary!I36,"Right","Wrong"))</f>
        <v>Right</v>
      </c>
    </row>
    <row r="36" spans="1:16" ht="18" customHeight="1" x14ac:dyDescent="0.4">
      <c r="A36" s="4">
        <v>43466</v>
      </c>
      <c r="B36" s="5" t="s">
        <v>104</v>
      </c>
      <c r="C36" s="12" t="s">
        <v>105</v>
      </c>
      <c r="D36" s="13" t="s">
        <v>106</v>
      </c>
      <c r="E36" s="8" t="s">
        <v>105</v>
      </c>
      <c r="F36" s="9">
        <v>27</v>
      </c>
      <c r="G36" s="10" t="str">
        <f t="array" ref="G36">IF(ROW(G36)-ROW(G$4)+1&gt;COUNT(I$1:I$40),"",INDEX(H:H,SMALL(I$1:I$40,1+ROW(G36)-ROW(G$4))))</f>
        <v/>
      </c>
      <c r="H36">
        <v>36</v>
      </c>
      <c r="I36" s="1" t="str">
        <f t="shared" si="0"/>
        <v/>
      </c>
      <c r="J36" s="1" t="str">
        <f t="array" ref="J36">IF(ROW(G39)-ROW(G$4)+1&gt;COUNT(I$1:I$40),"",INDEX(H:H,SMALL(I$1:I$40,1+ROW(G39)-ROW(G$4))))</f>
        <v/>
      </c>
      <c r="N36" t="e">
        <f ca="1"/>
        <v>#VALUE!</v>
      </c>
      <c r="P36" t="str">
        <f ca="1">IF(Summary!I37="","",IF(F36=Summary!I37,"Right","Wrong"))</f>
        <v>Wrong</v>
      </c>
    </row>
    <row r="37" spans="1:16" ht="18" customHeight="1" x14ac:dyDescent="0.4">
      <c r="A37" s="4">
        <v>43466</v>
      </c>
      <c r="B37" s="5" t="s">
        <v>107</v>
      </c>
      <c r="C37" s="12" t="s">
        <v>108</v>
      </c>
      <c r="D37" s="13" t="s">
        <v>109</v>
      </c>
      <c r="E37" s="8" t="s">
        <v>109</v>
      </c>
      <c r="F37" s="9">
        <v>15</v>
      </c>
      <c r="G37" s="10" t="str">
        <f t="array" ref="G37">IF(ROW(G37)-ROW(G$4)+1&gt;COUNT(I$1:I$40),"",INDEX(H:H,SMALL(I$1:I$40,1+ROW(G37)-ROW(G$4))))</f>
        <v/>
      </c>
      <c r="H37">
        <v>37</v>
      </c>
      <c r="I37" s="1" t="str">
        <f t="shared" si="0"/>
        <v/>
      </c>
      <c r="J37" s="1" t="str">
        <f t="array" ref="J37">IF(ROW(G40)-ROW(G$4)+1&gt;COUNT(I$1:I$40),"",INDEX(H:H,SMALL(I$1:I$40,1+ROW(G40)-ROW(G$4))))</f>
        <v/>
      </c>
      <c r="N37" t="e">
        <f ca="1"/>
        <v>#VALUE!</v>
      </c>
      <c r="P37" t="str">
        <f ca="1">IF(Summary!I38="","",IF(F37=Summary!I38,"Right","Wrong"))</f>
        <v>Wrong</v>
      </c>
    </row>
    <row r="38" spans="1:16" ht="18" customHeight="1" x14ac:dyDescent="0.4">
      <c r="A38" s="4">
        <v>43466</v>
      </c>
      <c r="B38" s="5" t="s">
        <v>110</v>
      </c>
      <c r="C38" s="12" t="s">
        <v>111</v>
      </c>
      <c r="D38" s="13" t="s">
        <v>112</v>
      </c>
      <c r="E38" s="8" t="s">
        <v>111</v>
      </c>
      <c r="F38" s="9">
        <v>22</v>
      </c>
      <c r="G38" s="10" t="str">
        <f t="array" ref="G38">IF(ROW(G38)-ROW(G$4)+1&gt;COUNT(I$1:I$40),"",INDEX(H:H,SMALL(I$1:I$40,1+ROW(G38)-ROW(G$4))))</f>
        <v/>
      </c>
      <c r="H38">
        <v>38</v>
      </c>
      <c r="I38" s="1" t="str">
        <f t="shared" si="0"/>
        <v/>
      </c>
      <c r="J38" s="1" t="str">
        <f t="array" ref="J38">IF(ROW(G41)-ROW(G$4)+1&gt;COUNT(I$1:I$40),"",INDEX(H:H,SMALL(I$1:I$40,1+ROW(G41)-ROW(G$4))))</f>
        <v/>
      </c>
      <c r="N38" t="e">
        <f ca="1"/>
        <v>#VALUE!</v>
      </c>
      <c r="P38" t="str">
        <f ca="1">IF(Summary!I39="","",IF(F38=Summary!I39,"Right","Wrong"))</f>
        <v>Right</v>
      </c>
    </row>
    <row r="39" spans="1:16" ht="18" customHeight="1" x14ac:dyDescent="0.4">
      <c r="A39" s="4">
        <v>43467</v>
      </c>
      <c r="B39" s="5" t="s">
        <v>113</v>
      </c>
      <c r="C39" s="12" t="s">
        <v>114</v>
      </c>
      <c r="D39" s="13" t="s">
        <v>115</v>
      </c>
      <c r="E39" s="8" t="s">
        <v>115</v>
      </c>
      <c r="F39" s="9">
        <v>39</v>
      </c>
      <c r="G39" s="10" t="str">
        <f t="array" ref="G39">IF(ROW(G39)-ROW(G$4)+1&gt;COUNT(I$1:I$40),"",INDEX(H:H,SMALL(I$1:I$40,1+ROW(G39)-ROW(G$4))))</f>
        <v/>
      </c>
      <c r="H39">
        <v>39</v>
      </c>
      <c r="I39" s="1" t="str">
        <f t="shared" si="0"/>
        <v/>
      </c>
      <c r="J39" s="1" t="str">
        <f t="array" ref="J39">IF(ROW(G42)-ROW(G$4)+1&gt;COUNT(I$1:I$40),"",INDEX(H:H,SMALL(I$1:I$40,1+ROW(G42)-ROW(G$4))))</f>
        <v/>
      </c>
      <c r="N39" t="e">
        <f ca="1"/>
        <v>#VALUE!</v>
      </c>
      <c r="P39" t="str">
        <f ca="1">IF(Summary!I40="","",IF(F39=Summary!I40,"Right","Wrong"))</f>
        <v>Right</v>
      </c>
    </row>
    <row r="40" spans="1:16" ht="18" customHeight="1" x14ac:dyDescent="0.4">
      <c r="A40" s="4">
        <v>43467</v>
      </c>
      <c r="B40" s="5" t="s">
        <v>116</v>
      </c>
      <c r="C40" s="12" t="s">
        <v>117</v>
      </c>
      <c r="D40" s="13" t="s">
        <v>118</v>
      </c>
      <c r="E40" s="8" t="s">
        <v>117</v>
      </c>
      <c r="F40" s="9">
        <v>24</v>
      </c>
      <c r="G40" s="10" t="str">
        <f t="array" ref="G40">IF(ROW(G40)-ROW(G$4)+1&gt;COUNT(I$1:I$40),"",INDEX(H:H,SMALL(I$1:I$40,1+ROW(G40)-ROW(G$4))))</f>
        <v/>
      </c>
      <c r="H40">
        <v>40</v>
      </c>
      <c r="I40" s="1" t="str">
        <f t="shared" si="0"/>
        <v/>
      </c>
      <c r="J40" s="1" t="str">
        <f t="array" ref="J40">IF(ROW(G43)-ROW(G$4)+1&gt;COUNT(I$1:I$40),"",INDEX(H:H,SMALL(I$1:I$40,1+ROW(G43)-ROW(G$4))))</f>
        <v/>
      </c>
      <c r="N40" t="e">
        <f ca="1"/>
        <v>#VALUE!</v>
      </c>
      <c r="P40" t="str">
        <f ca="1">IF(Summary!I41="","",IF(F40=Summary!I41,"Right","Wrong"))</f>
        <v>Right</v>
      </c>
    </row>
    <row r="41" spans="1:16" ht="18" customHeight="1" x14ac:dyDescent="0.4">
      <c r="A41" s="4">
        <v>43468</v>
      </c>
      <c r="B41" s="5" t="s">
        <v>119</v>
      </c>
      <c r="C41" s="12" t="s">
        <v>120</v>
      </c>
      <c r="D41" s="13" t="s">
        <v>121</v>
      </c>
      <c r="E41" s="8" t="s">
        <v>120</v>
      </c>
      <c r="F41" s="9">
        <v>16</v>
      </c>
      <c r="G41" s="10" t="str">
        <f t="array" ref="G41">IF(ROW(G41)-ROW(G$4)+1&gt;COUNT(I$1:I$40),"",INDEX(H:H,SMALL(I$1:I$40,1+ROW(G41)-ROW(G$4))))</f>
        <v/>
      </c>
      <c r="I41" s="1"/>
      <c r="J41" s="1" t="str">
        <f t="array" ref="J41">IF(ROW(G44)-ROW(G$4)+1&gt;COUNT(I$1:I$40),"",INDEX(H:H,SMALL(I$1:I$40,1+ROW(G44)-ROW(G$4))))</f>
        <v/>
      </c>
      <c r="N41" t="e">
        <f ca="1"/>
        <v>#VALUE!</v>
      </c>
      <c r="P41" t="str">
        <f ca="1">IF(Summary!I42="","",IF(F41=Summary!I42,"Right","Wrong"))</f>
        <v>Right</v>
      </c>
    </row>
    <row r="42" spans="1:16" ht="18" customHeight="1" x14ac:dyDescent="0.4">
      <c r="A42" s="4">
        <v>43469</v>
      </c>
      <c r="B42" s="5" t="s">
        <v>122</v>
      </c>
      <c r="C42" s="12" t="s">
        <v>123</v>
      </c>
      <c r="D42" s="13" t="s">
        <v>124</v>
      </c>
      <c r="E42" s="8" t="s">
        <v>124</v>
      </c>
      <c r="F42" s="9">
        <v>13</v>
      </c>
      <c r="G42" s="10" t="str">
        <f t="array" ref="G42">IF(ROW(G42)-ROW(G$4)+1&gt;COUNT(I$1:I$40),"",INDEX(H:H,SMALL(I$1:I$40,1+ROW(G42)-ROW(G$4))))</f>
        <v/>
      </c>
      <c r="H42" s="14"/>
      <c r="N42" t="e">
        <f ca="1"/>
        <v>#VALUE!</v>
      </c>
      <c r="P42" t="str">
        <f ca="1">IF(Summary!I43="","",IF(F42=Summary!I43,"Right","Wrong"))</f>
        <v>Wrong</v>
      </c>
    </row>
    <row r="43" spans="1:16" ht="18" customHeight="1" thickBot="1" x14ac:dyDescent="0.45">
      <c r="A43" s="15">
        <v>43471</v>
      </c>
      <c r="B43" s="16" t="s">
        <v>125</v>
      </c>
      <c r="C43" s="17" t="s">
        <v>126</v>
      </c>
      <c r="D43" s="18" t="s">
        <v>127</v>
      </c>
      <c r="E43" s="19" t="s">
        <v>126</v>
      </c>
      <c r="F43" s="20">
        <v>32</v>
      </c>
      <c r="G43" s="21" t="str">
        <f t="array" ref="G43">IF(ROW(G43)-ROW(G$4)+1&gt;COUNT(I$1:I$40),"",INDEX(H:H,SMALL(I$1:I$40,1+ROW(G43)-ROW(G$4))))</f>
        <v/>
      </c>
      <c r="H43" s="14"/>
      <c r="N43" t="e">
        <f ca="1"/>
        <v>#VALUE!</v>
      </c>
      <c r="P43" t="str">
        <f ca="1">IF(Summary!I44="","",IF(F43=Summary!I44,"Right","Wrong"))</f>
        <v>Right</v>
      </c>
    </row>
    <row r="44" spans="1:16" ht="18" customHeight="1" x14ac:dyDescent="0.4">
      <c r="A44" s="22"/>
      <c r="B44" s="104" t="s">
        <v>128</v>
      </c>
      <c r="C44" s="104"/>
      <c r="D44" s="104"/>
      <c r="E44" s="23"/>
      <c r="F44" s="24"/>
      <c r="G44" s="25" t="str">
        <f t="array" ref="G44">IF(ROW(G44)-ROW(G$4)+1&gt;COUNT(I$1:I$41),"",INDEX(H:H,SMALL(I$1:I$41,1+ROW(G44)-ROW(G$4))))</f>
        <v/>
      </c>
      <c r="H44" s="14"/>
      <c r="N44" t="e">
        <f ca="1"/>
        <v>#VALUE!</v>
      </c>
    </row>
    <row r="45" spans="1:16" x14ac:dyDescent="0.35">
      <c r="N45" t="e">
        <f ca="1"/>
        <v>#VALUE!</v>
      </c>
    </row>
  </sheetData>
  <mergeCells count="7">
    <mergeCell ref="R7:S8"/>
    <mergeCell ref="B44:D44"/>
    <mergeCell ref="A1:A2"/>
    <mergeCell ref="B1:B2"/>
    <mergeCell ref="F1:F2"/>
    <mergeCell ref="G1:G2"/>
    <mergeCell ref="C3:D3"/>
  </mergeCells>
  <conditionalFormatting sqref="G1 E4:F44 B1">
    <cfRule type="containsBlanks" dxfId="45" priority="4">
      <formula>LEN(TRIM(B1))=0</formula>
    </cfRule>
  </conditionalFormatting>
  <conditionalFormatting sqref="F4:F44">
    <cfRule type="duplicateValues" dxfId="44" priority="3"/>
  </conditionalFormatting>
  <conditionalFormatting sqref="P4:P43">
    <cfRule type="cellIs" dxfId="43" priority="1" operator="equal">
      <formula>"Wrong"</formula>
    </cfRule>
    <cfRule type="cellIs" dxfId="42" priority="2" operator="equal">
      <formula>"Right"</formula>
    </cfRule>
  </conditionalFormatting>
  <dataValidations count="3">
    <dataValidation type="list" allowBlank="1" showInputMessage="1" sqref="F4:F43" xr:uid="{800C6E60-C206-48B9-A24D-A02EC582B71F}">
      <formula1>Confidence_Count</formula1>
    </dataValidation>
    <dataValidation type="list" errorStyle="warning" allowBlank="1" showInputMessage="1" sqref="E4:E43" xr:uid="{E0F72922-6438-4DA4-915D-B7114FD007E3}">
      <formula1>$C4:$D4</formula1>
    </dataValidation>
    <dataValidation type="list" allowBlank="1" showInputMessage="1" showErrorMessage="1" sqref="E44" xr:uid="{1CC48912-9AB2-41F7-9966-26CA356ACE5B}">
      <formula1>"LSU,Ohio State,Clemson,Oklahoma"</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6E1A7-CBBB-48B1-A660-A58446F4C061}">
  <sheetPr codeName="Sheet12"/>
  <dimension ref="A1:S44"/>
  <sheetViews>
    <sheetView showGridLines="0" workbookViewId="0">
      <selection activeCell="P1" sqref="P1:P1048576"/>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ht="14.5" customHeight="1" x14ac:dyDescent="0.35">
      <c r="A1" s="105" t="s">
        <v>0</v>
      </c>
      <c r="B1" s="105" t="s">
        <v>153</v>
      </c>
      <c r="F1" s="107" t="s">
        <v>1</v>
      </c>
      <c r="G1" s="105" t="s">
        <v>145</v>
      </c>
      <c r="H1">
        <v>1</v>
      </c>
      <c r="I1" s="1" t="str">
        <f t="shared" ref="I1:I40" si="0">IF(COUNTIF($F$4:$F$43,H1)&gt;=1,"",ROW())</f>
        <v/>
      </c>
      <c r="J1" s="1" t="str" cm="1">
        <f t="array" ref="J1">IF(ROW(G4)-ROW(G$4)+1&gt;COUNT(I$1:I$40),"",INDEX(H:H,SMALL(I$1:I$40,1+ROW(G4)-ROW(G$4))))</f>
        <v/>
      </c>
    </row>
    <row r="2" spans="1:19" ht="15" customHeight="1"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cm="1">
        <f t="array" ref="J3">IF(ROW(G6)-ROW(G$4)+1&gt;COUNT(I$1:I$40),"",INDEX(H:H,SMALL(I$1:I$40,1+ROW(G6)-ROW(G$4))))</f>
        <v/>
      </c>
      <c r="P3" t="str">
        <f ca="1">_xlfn.CONCAT(COUNTIF(P4:P43,"Right")&amp;"/"&amp;(COUNTIF(P4:P43,"Right")+COUNTIF(P4:P43,"Wrong")))</f>
        <v>28/40</v>
      </c>
    </row>
    <row r="4" spans="1:19" ht="18" customHeight="1" thickTop="1" x14ac:dyDescent="0.4">
      <c r="A4" s="4">
        <v>43819</v>
      </c>
      <c r="B4" s="5" t="s">
        <v>8</v>
      </c>
      <c r="C4" s="6" t="s">
        <v>9</v>
      </c>
      <c r="D4" s="7" t="s">
        <v>10</v>
      </c>
      <c r="E4" s="8" t="s">
        <v>9</v>
      </c>
      <c r="F4" s="9">
        <v>5</v>
      </c>
      <c r="G4" s="10" t="str" cm="1">
        <f t="array" ref="G4">IF(ROW(G4)-ROW(G$4)+1&gt;COUNT(I$1:I$40),"",INDEX(H:H,SMALL(I$1:I$40,1+ROW(G4)-ROW(G$4))))</f>
        <v/>
      </c>
      <c r="H4">
        <v>4</v>
      </c>
      <c r="I4" s="1" t="str">
        <f t="shared" si="0"/>
        <v/>
      </c>
      <c r="J4" s="1" t="str" cm="1">
        <f t="array" ref="J4">IF(ROW(G7)-ROW(G$4)+1&gt;COUNT(I$1:I$40),"",INDEX(H:H,SMALL(I$1:I$40,1+ROW(G7)-ROW(G$4))))</f>
        <v/>
      </c>
      <c r="N4" s="11"/>
      <c r="P4" t="str">
        <f ca="1">IF(Summary!J5="","",IF(F4=Summary!J5,"Right","Wrong"))</f>
        <v>Right</v>
      </c>
    </row>
    <row r="5" spans="1:19" ht="18" customHeight="1" x14ac:dyDescent="0.4">
      <c r="A5" s="4">
        <v>43819</v>
      </c>
      <c r="B5" s="5" t="s">
        <v>11</v>
      </c>
      <c r="C5" s="12" t="s">
        <v>12</v>
      </c>
      <c r="D5" s="13" t="s">
        <v>13</v>
      </c>
      <c r="E5" s="8" t="s">
        <v>12</v>
      </c>
      <c r="F5" s="9">
        <v>31</v>
      </c>
      <c r="G5" s="10" t="str" cm="1">
        <f t="array" ref="G5">IF(ROW(G5)-ROW(G$4)+1&gt;COUNT(I$1:I$40),"",INDEX(H:H,SMALL(I$1:I$40,1+ROW(G5)-ROW(G$4))))</f>
        <v/>
      </c>
      <c r="H5">
        <v>5</v>
      </c>
      <c r="I5" s="1" t="str">
        <f t="shared" si="0"/>
        <v/>
      </c>
      <c r="J5" s="1" t="str" cm="1">
        <f t="array" ref="J5">IF(ROW(G8)-ROW(G$4)+1&gt;COUNT(I$1:I$40),"",INDEX(H:H,SMALL(I$1:I$40,1+ROW(G8)-ROW(G$4))))</f>
        <v/>
      </c>
      <c r="P5" t="str">
        <f ca="1">IF(Summary!J6="","",IF(F5=Summary!J6,"Right","Wrong"))</f>
        <v>Wrong</v>
      </c>
    </row>
    <row r="6" spans="1:19" ht="18" customHeight="1" x14ac:dyDescent="0.4">
      <c r="A6" s="4">
        <v>43820</v>
      </c>
      <c r="B6" s="5" t="s">
        <v>14</v>
      </c>
      <c r="C6" s="12" t="s">
        <v>15</v>
      </c>
      <c r="D6" s="13" t="s">
        <v>16</v>
      </c>
      <c r="E6" s="8" t="s">
        <v>15</v>
      </c>
      <c r="F6" s="9">
        <v>16</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IF(Summary!J7="","",IF(F6=Summary!J7,"Right","Wrong"))</f>
        <v>Wrong</v>
      </c>
    </row>
    <row r="7" spans="1:19" ht="18" customHeight="1" x14ac:dyDescent="0.4">
      <c r="A7" s="4">
        <v>43820</v>
      </c>
      <c r="B7" s="5" t="s">
        <v>17</v>
      </c>
      <c r="C7" s="12" t="s">
        <v>18</v>
      </c>
      <c r="D7" s="13" t="s">
        <v>19</v>
      </c>
      <c r="E7" s="8" t="s">
        <v>18</v>
      </c>
      <c r="F7" s="9">
        <v>32</v>
      </c>
      <c r="G7" s="10" t="str" cm="1">
        <f t="array" ref="G7">IF(ROW(G7)-ROW(G$4)+1&gt;COUNT(I$1:I$40),"",INDEX(H:H,SMALL(I$1:I$40,1+ROW(G7)-ROW(G$4))))</f>
        <v/>
      </c>
      <c r="H7">
        <v>7</v>
      </c>
      <c r="I7" s="1" t="str">
        <f t="shared" si="0"/>
        <v/>
      </c>
      <c r="J7" s="1" t="str" cm="1">
        <f t="array" ref="J7">IF(ROW(G10)-ROW(G$4)+1&gt;COUNT(I$1:I$40),"",INDEX(H:H,SMALL(I$1:I$40,1+ROW(G10)-ROW(G$4))))</f>
        <v/>
      </c>
      <c r="P7" t="str">
        <f ca="1">IF(Summary!J8="","",IF(F7=Summary!J8,"Right","Wrong"))</f>
        <v>Right</v>
      </c>
      <c r="R7" s="103"/>
      <c r="S7" s="103"/>
    </row>
    <row r="8" spans="1:19" ht="18" customHeight="1" x14ac:dyDescent="0.4">
      <c r="A8" s="4">
        <v>43820</v>
      </c>
      <c r="B8" s="5" t="s">
        <v>20</v>
      </c>
      <c r="C8" s="12" t="s">
        <v>21</v>
      </c>
      <c r="D8" s="13" t="s">
        <v>22</v>
      </c>
      <c r="E8" s="8" t="s">
        <v>21</v>
      </c>
      <c r="F8" s="9">
        <v>19</v>
      </c>
      <c r="G8" s="10" t="str" cm="1">
        <f t="array" ref="G8">IF(ROW(G8)-ROW(G$4)+1&gt;COUNT(I$1:I$40),"",INDEX(H:H,SMALL(I$1:I$40,1+ROW(G8)-ROW(G$4))))</f>
        <v/>
      </c>
      <c r="H8">
        <v>8</v>
      </c>
      <c r="I8" s="1" t="str">
        <f t="shared" si="0"/>
        <v/>
      </c>
      <c r="J8" s="1" t="str" cm="1">
        <f t="array" ref="J8">IF(ROW(G11)-ROW(G$4)+1&gt;COUNT(I$1:I$40),"",INDEX(H:H,SMALL(I$1:I$40,1+ROW(G11)-ROW(G$4))))</f>
        <v/>
      </c>
      <c r="P8" t="str">
        <f ca="1">IF(Summary!J9="","",IF(F8=Summary!J9,"Right","Wrong"))</f>
        <v>Wrong</v>
      </c>
      <c r="R8" s="103"/>
      <c r="S8" s="103"/>
    </row>
    <row r="9" spans="1:19" ht="18" customHeight="1" x14ac:dyDescent="0.4">
      <c r="A9" s="4">
        <v>43820</v>
      </c>
      <c r="B9" s="5" t="s">
        <v>23</v>
      </c>
      <c r="C9" s="12" t="s">
        <v>24</v>
      </c>
      <c r="D9" s="13" t="s">
        <v>25</v>
      </c>
      <c r="E9" s="8" t="s">
        <v>24</v>
      </c>
      <c r="F9" s="9">
        <v>29</v>
      </c>
      <c r="G9" s="10" t="str" cm="1">
        <f t="array" ref="G9">IF(ROW(G9)-ROW(G$4)+1&gt;COUNT(I$1:I$40),"",INDEX(H:H,SMALL(I$1:I$40,1+ROW(G9)-ROW(G$4))))</f>
        <v/>
      </c>
      <c r="H9">
        <v>9</v>
      </c>
      <c r="I9" s="1" t="str">
        <f t="shared" si="0"/>
        <v/>
      </c>
      <c r="J9" s="1" t="str" cm="1">
        <f t="array" ref="J9">IF(ROW(G12)-ROW(G$4)+1&gt;COUNT(I$1:I$40),"",INDEX(H:H,SMALL(I$1:I$40,1+ROW(G12)-ROW(G$4))))</f>
        <v/>
      </c>
      <c r="P9" t="str">
        <f ca="1">IF(Summary!J10="","",IF(F9=Summary!J10,"Right","Wrong"))</f>
        <v>Wrong</v>
      </c>
    </row>
    <row r="10" spans="1:19" ht="18" customHeight="1" x14ac:dyDescent="0.4">
      <c r="A10" s="4">
        <v>43820</v>
      </c>
      <c r="B10" s="5" t="s">
        <v>26</v>
      </c>
      <c r="C10" s="12" t="s">
        <v>27</v>
      </c>
      <c r="D10" s="13" t="s">
        <v>28</v>
      </c>
      <c r="E10" s="8" t="s">
        <v>28</v>
      </c>
      <c r="F10" s="9">
        <v>4</v>
      </c>
      <c r="G10" s="10" t="str" cm="1">
        <f t="array" ref="G10">IF(ROW(G10)-ROW(G$4)+1&gt;COUNT(I$1:I$40),"",INDEX(H:H,SMALL(I$1:I$40,1+ROW(G10)-ROW(G$4))))</f>
        <v/>
      </c>
      <c r="H10">
        <v>10</v>
      </c>
      <c r="I10" s="1" t="str">
        <f t="shared" si="0"/>
        <v/>
      </c>
      <c r="J10" s="1" t="str" cm="1">
        <f t="array" ref="J10">IF(ROW(G13)-ROW(G$4)+1&gt;COUNT(I$1:I$40),"",INDEX(H:H,SMALL(I$1:I$40,1+ROW(G13)-ROW(G$4))))</f>
        <v/>
      </c>
      <c r="P10" t="str">
        <f ca="1">IF(Summary!J11="","",IF(F10=Summary!J11,"Right","Wrong"))</f>
        <v>Right</v>
      </c>
    </row>
    <row r="11" spans="1:19" ht="18" customHeight="1" x14ac:dyDescent="0.4">
      <c r="A11" s="4">
        <v>43820</v>
      </c>
      <c r="B11" s="5" t="s">
        <v>29</v>
      </c>
      <c r="C11" s="12" t="s">
        <v>30</v>
      </c>
      <c r="D11" s="13" t="s">
        <v>31</v>
      </c>
      <c r="E11" s="8" t="s">
        <v>30</v>
      </c>
      <c r="F11" s="9">
        <v>28</v>
      </c>
      <c r="G11" s="10" t="str" cm="1">
        <f t="array" ref="G11">IF(ROW(G11)-ROW(G$4)+1&gt;COUNT(I$1:I$40),"",INDEX(H:H,SMALL(I$1:I$40,1+ROW(G11)-ROW(G$4))))</f>
        <v/>
      </c>
      <c r="H11">
        <v>11</v>
      </c>
      <c r="I11" s="1" t="str">
        <f t="shared" si="0"/>
        <v/>
      </c>
      <c r="J11" s="1" t="str" cm="1">
        <f t="array" ref="J11">IF(ROW(G14)-ROW(G$4)+1&gt;COUNT(I$1:I$40),"",INDEX(H:H,SMALL(I$1:I$40,1+ROW(G14)-ROW(G$4))))</f>
        <v/>
      </c>
      <c r="P11" t="str">
        <f ca="1">IF(Summary!J12="","",IF(F11=Summary!J12,"Right","Wrong"))</f>
        <v>Right</v>
      </c>
    </row>
    <row r="12" spans="1:19" ht="18" customHeight="1" x14ac:dyDescent="0.4">
      <c r="A12" s="4">
        <v>43820</v>
      </c>
      <c r="B12" s="5" t="s">
        <v>32</v>
      </c>
      <c r="C12" s="12" t="s">
        <v>33</v>
      </c>
      <c r="D12" s="13" t="s">
        <v>34</v>
      </c>
      <c r="E12" s="8" t="s">
        <v>33</v>
      </c>
      <c r="F12" s="9">
        <v>20</v>
      </c>
      <c r="G12" s="10" t="str" cm="1">
        <f t="array" ref="G12">IF(ROW(G12)-ROW(G$4)+1&gt;COUNT(I$1:I$40),"",INDEX(H:H,SMALL(I$1:I$40,1+ROW(G12)-ROW(G$4))))</f>
        <v/>
      </c>
      <c r="H12">
        <v>12</v>
      </c>
      <c r="I12" s="1" t="str">
        <f t="shared" si="0"/>
        <v/>
      </c>
      <c r="J12" s="1" t="str" cm="1">
        <f t="array" ref="J12">IF(ROW(G15)-ROW(G$4)+1&gt;COUNT(I$1:I$40),"",INDEX(H:H,SMALL(I$1:I$40,1+ROW(G15)-ROW(G$4))))</f>
        <v/>
      </c>
      <c r="P12" t="str">
        <f ca="1">IF(Summary!J13="","",IF(F12=Summary!J13,"Right","Wrong"))</f>
        <v>Right</v>
      </c>
    </row>
    <row r="13" spans="1:19" ht="18" customHeight="1" x14ac:dyDescent="0.4">
      <c r="A13" s="4">
        <v>43822</v>
      </c>
      <c r="B13" s="5" t="s">
        <v>35</v>
      </c>
      <c r="C13" s="12" t="s">
        <v>36</v>
      </c>
      <c r="D13" s="13" t="s">
        <v>37</v>
      </c>
      <c r="E13" s="8" t="s">
        <v>36</v>
      </c>
      <c r="F13" s="9">
        <v>11</v>
      </c>
      <c r="G13" s="10" t="str" cm="1">
        <f t="array" ref="G13">IF(ROW(G13)-ROW(G$4)+1&gt;COUNT(I$1:I$40),"",INDEX(H:H,SMALL(I$1:I$40,1+ROW(G13)-ROW(G$4))))</f>
        <v/>
      </c>
      <c r="H13">
        <v>13</v>
      </c>
      <c r="I13" s="1" t="str">
        <f t="shared" si="0"/>
        <v/>
      </c>
      <c r="J13" s="1" t="str" cm="1">
        <f t="array" ref="J13">IF(ROW(G16)-ROW(G$4)+1&gt;COUNT(I$1:I$40),"",INDEX(H:H,SMALL(I$1:I$40,1+ROW(G16)-ROW(G$4))))</f>
        <v/>
      </c>
      <c r="P13" t="str">
        <f ca="1">IF(Summary!J14="","",IF(F13=Summary!J14,"Right","Wrong"))</f>
        <v>Right</v>
      </c>
    </row>
    <row r="14" spans="1:19" ht="18" customHeight="1" x14ac:dyDescent="0.4">
      <c r="A14" s="4">
        <v>43823</v>
      </c>
      <c r="B14" s="5" t="s">
        <v>38</v>
      </c>
      <c r="C14" s="12" t="s">
        <v>39</v>
      </c>
      <c r="D14" s="13" t="s">
        <v>40</v>
      </c>
      <c r="E14" s="8" t="s">
        <v>40</v>
      </c>
      <c r="F14" s="9">
        <v>6</v>
      </c>
      <c r="G14" s="10" t="str" cm="1">
        <f t="array" ref="G14">IF(ROW(G14)-ROW(G$4)+1&gt;COUNT(I$1:I$40),"",INDEX(H:H,SMALL(I$1:I$40,1+ROW(G14)-ROW(G$4))))</f>
        <v/>
      </c>
      <c r="H14">
        <v>14</v>
      </c>
      <c r="I14" s="1" t="str">
        <f t="shared" si="0"/>
        <v/>
      </c>
      <c r="J14" s="1" t="str" cm="1">
        <f t="array" ref="J14">IF(ROW(G17)-ROW(G$4)+1&gt;COUNT(I$1:I$40),"",INDEX(H:H,SMALL(I$1:I$40,1+ROW(G17)-ROW(G$4))))</f>
        <v/>
      </c>
      <c r="P14" t="str">
        <f ca="1">IF(Summary!J15="","",IF(F14=Summary!J15,"Right","Wrong"))</f>
        <v>Wrong</v>
      </c>
    </row>
    <row r="15" spans="1:19" ht="18" customHeight="1" x14ac:dyDescent="0.4">
      <c r="A15" s="4">
        <v>43825</v>
      </c>
      <c r="B15" s="5" t="s">
        <v>41</v>
      </c>
      <c r="C15" s="12" t="s">
        <v>42</v>
      </c>
      <c r="D15" s="13" t="s">
        <v>43</v>
      </c>
      <c r="E15" s="8" t="s">
        <v>42</v>
      </c>
      <c r="F15" s="9">
        <v>2</v>
      </c>
      <c r="G15" s="10" t="str" cm="1">
        <f t="array" ref="G15">IF(ROW(G15)-ROW(G$4)+1&gt;COUNT(I$1:I$40),"",INDEX(H:H,SMALL(I$1:I$40,1+ROW(G15)-ROW(G$4))))</f>
        <v/>
      </c>
      <c r="H15">
        <v>15</v>
      </c>
      <c r="I15" s="1" t="str">
        <f t="shared" si="0"/>
        <v/>
      </c>
      <c r="J15" s="1" t="str" cm="1">
        <f t="array" ref="J15">IF(ROW(G18)-ROW(G$4)+1&gt;COUNT(I$1:I$40),"",INDEX(H:H,SMALL(I$1:I$40,1+ROW(G18)-ROW(G$4))))</f>
        <v/>
      </c>
      <c r="P15" t="str">
        <f ca="1">IF(Summary!J16="","",IF(F15=Summary!J16,"Right","Wrong"))</f>
        <v>Wrong</v>
      </c>
    </row>
    <row r="16" spans="1:19" ht="18" customHeight="1" x14ac:dyDescent="0.4">
      <c r="A16" s="4">
        <v>43825</v>
      </c>
      <c r="B16" s="5" t="s">
        <v>44</v>
      </c>
      <c r="C16" s="12" t="s">
        <v>45</v>
      </c>
      <c r="D16" s="13" t="s">
        <v>46</v>
      </c>
      <c r="E16" s="8" t="s">
        <v>45</v>
      </c>
      <c r="F16" s="9">
        <v>33</v>
      </c>
      <c r="G16" s="10" t="str" cm="1">
        <f t="array" ref="G16">IF(ROW(G16)-ROW(G$4)+1&gt;COUNT(I$1:I$40),"",INDEX(H:H,SMALL(I$1:I$40,1+ROW(G16)-ROW(G$4))))</f>
        <v/>
      </c>
      <c r="H16">
        <v>16</v>
      </c>
      <c r="I16" s="1" t="str">
        <f t="shared" si="0"/>
        <v/>
      </c>
      <c r="J16" s="1" t="str" cm="1">
        <f t="array" ref="J16">IF(ROW(G19)-ROW(G$4)+1&gt;COUNT(I$1:I$40),"",INDEX(H:H,SMALL(I$1:I$40,1+ROW(G19)-ROW(G$4))))</f>
        <v/>
      </c>
      <c r="P16" t="str">
        <f ca="1">IF(Summary!J17="","",IF(F16=Summary!J17,"Right","Wrong"))</f>
        <v>Right</v>
      </c>
    </row>
    <row r="17" spans="1:16" ht="18" customHeight="1" x14ac:dyDescent="0.4">
      <c r="A17" s="4">
        <v>43826</v>
      </c>
      <c r="B17" s="5" t="s">
        <v>47</v>
      </c>
      <c r="C17" s="12" t="s">
        <v>48</v>
      </c>
      <c r="D17" s="13" t="s">
        <v>49</v>
      </c>
      <c r="E17" s="8" t="s">
        <v>48</v>
      </c>
      <c r="F17" s="9">
        <v>1</v>
      </c>
      <c r="G17" s="10" t="str" cm="1">
        <f t="array" ref="G17">IF(ROW(G17)-ROW(G$4)+1&gt;COUNT(I$1:I$40),"",INDEX(H:H,SMALL(I$1:I$40,1+ROW(G17)-ROW(G$4))))</f>
        <v/>
      </c>
      <c r="H17">
        <v>17</v>
      </c>
      <c r="I17" s="1" t="str">
        <f t="shared" si="0"/>
        <v/>
      </c>
      <c r="J17" s="1" t="str" cm="1">
        <f t="array" ref="J17">IF(ROW(G20)-ROW(G$4)+1&gt;COUNT(I$1:I$40),"",INDEX(H:H,SMALL(I$1:I$40,1+ROW(G20)-ROW(G$4))))</f>
        <v/>
      </c>
      <c r="P17" t="str">
        <f ca="1">IF(Summary!J18="","",IF(F17=Summary!J18,"Right","Wrong"))</f>
        <v>Right</v>
      </c>
    </row>
    <row r="18" spans="1:16" ht="18" customHeight="1" x14ac:dyDescent="0.4">
      <c r="A18" s="4">
        <v>43826</v>
      </c>
      <c r="B18" s="5" t="s">
        <v>50</v>
      </c>
      <c r="C18" s="12" t="s">
        <v>51</v>
      </c>
      <c r="D18" s="13" t="s">
        <v>52</v>
      </c>
      <c r="E18" s="8" t="s">
        <v>52</v>
      </c>
      <c r="F18" s="9">
        <v>12</v>
      </c>
      <c r="G18" s="10" t="str" cm="1">
        <f t="array" ref="G18">IF(ROW(G18)-ROW(G$4)+1&gt;COUNT(I$1:I$40),"",INDEX(H:H,SMALL(I$1:I$40,1+ROW(G18)-ROW(G$4))))</f>
        <v/>
      </c>
      <c r="H18">
        <v>18</v>
      </c>
      <c r="I18" s="1" t="str">
        <f t="shared" si="0"/>
        <v/>
      </c>
      <c r="J18" s="1" t="str" cm="1">
        <f t="array" ref="J18">IF(ROW(G21)-ROW(G$4)+1&gt;COUNT(I$1:I$40),"",INDEX(H:H,SMALL(I$1:I$40,1+ROW(G21)-ROW(G$4))))</f>
        <v/>
      </c>
      <c r="P18" t="str">
        <f ca="1">IF(Summary!J19="","",IF(F18=Summary!J19,"Right","Wrong"))</f>
        <v>Right</v>
      </c>
    </row>
    <row r="19" spans="1:16" ht="18" customHeight="1" x14ac:dyDescent="0.4">
      <c r="A19" s="4">
        <v>43826</v>
      </c>
      <c r="B19" s="5" t="s">
        <v>53</v>
      </c>
      <c r="C19" s="12" t="s">
        <v>54</v>
      </c>
      <c r="D19" s="13" t="s">
        <v>55</v>
      </c>
      <c r="E19" s="8" t="s">
        <v>55</v>
      </c>
      <c r="F19" s="9">
        <v>25</v>
      </c>
      <c r="G19" s="10" t="str" cm="1">
        <f t="array" ref="G19">IF(ROW(G19)-ROW(G$4)+1&gt;COUNT(I$1:I$40),"",INDEX(H:H,SMALL(I$1:I$40,1+ROW(G19)-ROW(G$4))))</f>
        <v/>
      </c>
      <c r="H19">
        <v>19</v>
      </c>
      <c r="I19" s="1" t="str">
        <f t="shared" si="0"/>
        <v/>
      </c>
      <c r="J19" s="1" t="str" cm="1">
        <f t="array" ref="J19">IF(ROW(G22)-ROW(G$4)+1&gt;COUNT(I$1:I$40),"",INDEX(H:H,SMALL(I$1:I$40,1+ROW(G22)-ROW(G$4))))</f>
        <v/>
      </c>
      <c r="P19" t="str">
        <f ca="1">IF(Summary!J20="","",IF(F19=Summary!J20,"Right","Wrong"))</f>
        <v>Right</v>
      </c>
    </row>
    <row r="20" spans="1:16" ht="18" customHeight="1" x14ac:dyDescent="0.4">
      <c r="A20" s="4">
        <v>43826</v>
      </c>
      <c r="B20" s="5" t="s">
        <v>56</v>
      </c>
      <c r="C20" s="12" t="s">
        <v>57</v>
      </c>
      <c r="D20" s="13" t="s">
        <v>58</v>
      </c>
      <c r="E20" s="8" t="s">
        <v>57</v>
      </c>
      <c r="F20" s="9">
        <v>13</v>
      </c>
      <c r="G20" s="10" t="str" cm="1">
        <f t="array" ref="G20">IF(ROW(G20)-ROW(G$4)+1&gt;COUNT(I$1:I$40),"",INDEX(H:H,SMALL(I$1:I$40,1+ROW(G20)-ROW(G$4))))</f>
        <v/>
      </c>
      <c r="H20">
        <v>20</v>
      </c>
      <c r="I20" s="1" t="str">
        <f t="shared" si="0"/>
        <v/>
      </c>
      <c r="J20" s="1" t="str" cm="1">
        <f t="array" ref="J20">IF(ROW(G23)-ROW(G$4)+1&gt;COUNT(I$1:I$40),"",INDEX(H:H,SMALL(I$1:I$40,1+ROW(G23)-ROW(G$4))))</f>
        <v/>
      </c>
      <c r="P20" t="str">
        <f ca="1">IF(Summary!J21="","",IF(F20=Summary!J21,"Right","Wrong"))</f>
        <v>Wrong</v>
      </c>
    </row>
    <row r="21" spans="1:16" ht="18" customHeight="1" x14ac:dyDescent="0.4">
      <c r="A21" s="4">
        <v>43826</v>
      </c>
      <c r="B21" s="5" t="s">
        <v>59</v>
      </c>
      <c r="C21" s="12" t="s">
        <v>60</v>
      </c>
      <c r="D21" s="13" t="s">
        <v>61</v>
      </c>
      <c r="E21" s="8" t="s">
        <v>60</v>
      </c>
      <c r="F21" s="9">
        <v>3</v>
      </c>
      <c r="G21" s="10" t="str" cm="1">
        <f t="array" ref="G21">IF(ROW(G21)-ROW(G$4)+1&gt;COUNT(I$1:I$40),"",INDEX(H:H,SMALL(I$1:I$40,1+ROW(G21)-ROW(G$4))))</f>
        <v/>
      </c>
      <c r="H21">
        <v>21</v>
      </c>
      <c r="I21" s="1" t="str">
        <f t="shared" si="0"/>
        <v/>
      </c>
      <c r="J21" s="1" t="str" cm="1">
        <f t="array" ref="J21">IF(ROW(G24)-ROW(G$4)+1&gt;COUNT(I$1:I$40),"",INDEX(H:H,SMALL(I$1:I$40,1+ROW(G24)-ROW(G$4))))</f>
        <v/>
      </c>
      <c r="P21" t="str">
        <f ca="1">IF(Summary!J22="","",IF(F21=Summary!J22,"Right","Wrong"))</f>
        <v>Right</v>
      </c>
    </row>
    <row r="22" spans="1:16" ht="18" customHeight="1" x14ac:dyDescent="0.4">
      <c r="A22" s="4">
        <v>43827</v>
      </c>
      <c r="B22" s="5" t="s">
        <v>62</v>
      </c>
      <c r="C22" s="12" t="s">
        <v>63</v>
      </c>
      <c r="D22" s="13" t="s">
        <v>64</v>
      </c>
      <c r="E22" s="8" t="s">
        <v>63</v>
      </c>
      <c r="F22" s="9">
        <v>21</v>
      </c>
      <c r="G22" s="10" t="str" cm="1">
        <f t="array" ref="G22">IF(ROW(G22)-ROW(G$4)+1&gt;COUNT(I$1:I$40),"",INDEX(H:H,SMALL(I$1:I$40,1+ROW(G22)-ROW(G$4))))</f>
        <v/>
      </c>
      <c r="H22">
        <v>22</v>
      </c>
      <c r="I22" s="1" t="str">
        <f t="shared" si="0"/>
        <v/>
      </c>
      <c r="J22" s="1" t="str" cm="1">
        <f t="array" ref="J22">IF(ROW(G25)-ROW(G$4)+1&gt;COUNT(I$1:I$40),"",INDEX(H:H,SMALL(I$1:I$40,1+ROW(G25)-ROW(G$4))))</f>
        <v/>
      </c>
      <c r="P22" t="str">
        <f ca="1">IF(Summary!J23="","",IF(F22=Summary!J23,"Right","Wrong"))</f>
        <v>Right</v>
      </c>
    </row>
    <row r="23" spans="1:16" ht="18" customHeight="1" x14ac:dyDescent="0.4">
      <c r="A23" s="4">
        <v>43827</v>
      </c>
      <c r="B23" s="5" t="s">
        <v>65</v>
      </c>
      <c r="C23" s="12" t="s">
        <v>66</v>
      </c>
      <c r="D23" s="13" t="s">
        <v>67</v>
      </c>
      <c r="E23" s="8" t="s">
        <v>66</v>
      </c>
      <c r="F23" s="9">
        <v>22</v>
      </c>
      <c r="G23" s="10" t="str" cm="1">
        <f t="array" ref="G23">IF(ROW(G23)-ROW(G$4)+1&gt;COUNT(I$1:I$40),"",INDEX(H:H,SMALL(I$1:I$40,1+ROW(G23)-ROW(G$4))))</f>
        <v/>
      </c>
      <c r="H23">
        <v>23</v>
      </c>
      <c r="I23" s="1" t="str">
        <f t="shared" si="0"/>
        <v/>
      </c>
      <c r="J23" s="1" t="str" cm="1">
        <f t="array" ref="J23">IF(ROW(G26)-ROW(G$4)+1&gt;COUNT(I$1:I$40),"",INDEX(H:H,SMALL(I$1:I$40,1+ROW(G26)-ROW(G$4))))</f>
        <v/>
      </c>
      <c r="P23" t="str">
        <f ca="1">IF(Summary!J24="","",IF(F23=Summary!J24,"Right","Wrong"))</f>
        <v>Right</v>
      </c>
    </row>
    <row r="24" spans="1:16" ht="18" customHeight="1" x14ac:dyDescent="0.4">
      <c r="A24" s="4">
        <v>43827</v>
      </c>
      <c r="B24" s="5" t="s">
        <v>68</v>
      </c>
      <c r="C24" s="12" t="s">
        <v>69</v>
      </c>
      <c r="D24" s="13" t="s">
        <v>70</v>
      </c>
      <c r="E24" s="8" t="s">
        <v>69</v>
      </c>
      <c r="F24" s="9">
        <v>40</v>
      </c>
      <c r="G24" s="10" t="str" cm="1">
        <f t="array" ref="G24">IF(ROW(G24)-ROW(G$4)+1&gt;COUNT(I$1:I$40),"",INDEX(H:H,SMALL(I$1:I$40,1+ROW(G24)-ROW(G$4))))</f>
        <v/>
      </c>
      <c r="H24">
        <v>24</v>
      </c>
      <c r="I24" s="1" t="str">
        <f t="shared" si="0"/>
        <v/>
      </c>
      <c r="J24" s="1" t="str" cm="1">
        <f t="array" ref="J24">IF(ROW(G27)-ROW(G$4)+1&gt;COUNT(I$1:I$40),"",INDEX(H:H,SMALL(I$1:I$40,1+ROW(G27)-ROW(G$4))))</f>
        <v/>
      </c>
      <c r="P24" t="str">
        <f ca="1">IF(Summary!J25="","",IF(F24=Summary!J25,"Right","Wrong"))</f>
        <v>Right</v>
      </c>
    </row>
    <row r="25" spans="1:16" ht="18" customHeight="1" x14ac:dyDescent="0.4">
      <c r="A25" s="4">
        <v>43827</v>
      </c>
      <c r="B25" s="5" t="s">
        <v>71</v>
      </c>
      <c r="C25" s="12" t="s">
        <v>72</v>
      </c>
      <c r="D25" s="13" t="s">
        <v>73</v>
      </c>
      <c r="E25" s="8" t="s">
        <v>73</v>
      </c>
      <c r="F25" s="9">
        <v>7</v>
      </c>
      <c r="G25" s="10" t="str" cm="1">
        <f t="array" ref="G25">IF(ROW(G25)-ROW(G$4)+1&gt;COUNT(I$1:I$40),"",INDEX(H:H,SMALL(I$1:I$40,1+ROW(G25)-ROW(G$4))))</f>
        <v/>
      </c>
      <c r="H25">
        <v>25</v>
      </c>
      <c r="I25" s="1" t="str">
        <f t="shared" si="0"/>
        <v/>
      </c>
      <c r="J25" s="1" t="str" cm="1">
        <f t="array" ref="J25">IF(ROW(G28)-ROW(G$4)+1&gt;COUNT(I$1:I$40),"",INDEX(H:H,SMALL(I$1:I$40,1+ROW(G28)-ROW(G$4))))</f>
        <v/>
      </c>
      <c r="P25" t="str">
        <f ca="1">IF(Summary!J26="","",IF(F25=Summary!J26,"Right","Wrong"))</f>
        <v>Right</v>
      </c>
    </row>
    <row r="26" spans="1:16" ht="18" customHeight="1" x14ac:dyDescent="0.4">
      <c r="A26" s="4">
        <v>43829</v>
      </c>
      <c r="B26" s="5" t="s">
        <v>74</v>
      </c>
      <c r="C26" s="12" t="s">
        <v>75</v>
      </c>
      <c r="D26" s="13" t="s">
        <v>76</v>
      </c>
      <c r="E26" s="8" t="s">
        <v>75</v>
      </c>
      <c r="F26" s="9">
        <v>8</v>
      </c>
      <c r="G26" s="10" t="str" cm="1">
        <f t="array" ref="G26">IF(ROW(G26)-ROW(G$4)+1&gt;COUNT(I$1:I$40),"",INDEX(H:H,SMALL(I$1:I$40,1+ROW(G26)-ROW(G$4))))</f>
        <v/>
      </c>
      <c r="H26">
        <v>26</v>
      </c>
      <c r="I26" s="1" t="str">
        <f t="shared" si="0"/>
        <v/>
      </c>
      <c r="J26" s="1" t="str" cm="1">
        <f t="array" ref="J26">IF(ROW(G29)-ROW(G$4)+1&gt;COUNT(I$1:I$40),"",INDEX(H:H,SMALL(I$1:I$40,1+ROW(G29)-ROW(G$4))))</f>
        <v/>
      </c>
      <c r="P26" t="str">
        <f ca="1">IF(Summary!J27="","",IF(F26=Summary!J27,"Right","Wrong"))</f>
        <v>Right</v>
      </c>
    </row>
    <row r="27" spans="1:16" ht="18" customHeight="1" x14ac:dyDescent="0.4">
      <c r="A27" s="4">
        <v>43829</v>
      </c>
      <c r="B27" s="5" t="s">
        <v>77</v>
      </c>
      <c r="C27" s="12" t="s">
        <v>78</v>
      </c>
      <c r="D27" s="13" t="s">
        <v>148</v>
      </c>
      <c r="E27" s="8" t="s">
        <v>148</v>
      </c>
      <c r="F27" s="9">
        <v>27</v>
      </c>
      <c r="G27" s="10" t="str" cm="1">
        <f t="array" ref="G27">IF(ROW(G27)-ROW(G$4)+1&gt;COUNT(I$1:I$40),"",INDEX(H:H,SMALL(I$1:I$40,1+ROW(G27)-ROW(G$4))))</f>
        <v/>
      </c>
      <c r="H27">
        <v>27</v>
      </c>
      <c r="I27" s="1" t="str">
        <f t="shared" si="0"/>
        <v/>
      </c>
      <c r="J27" s="1" t="str" cm="1">
        <f t="array" ref="J27">IF(ROW(G30)-ROW(G$4)+1&gt;COUNT(I$1:I$40),"",INDEX(H:H,SMALL(I$1:I$40,1+ROW(G30)-ROW(G$4))))</f>
        <v/>
      </c>
      <c r="P27" t="str">
        <f ca="1">IF(Summary!J28="","",IF(F27=Summary!J28,"Right","Wrong"))</f>
        <v>Right</v>
      </c>
    </row>
    <row r="28" spans="1:16" ht="18" customHeight="1" x14ac:dyDescent="0.4">
      <c r="A28" s="4">
        <v>43829</v>
      </c>
      <c r="B28" s="5" t="s">
        <v>80</v>
      </c>
      <c r="C28" s="12" t="s">
        <v>81</v>
      </c>
      <c r="D28" s="13" t="s">
        <v>82</v>
      </c>
      <c r="E28" s="8" t="s">
        <v>82</v>
      </c>
      <c r="F28" s="9">
        <v>14</v>
      </c>
      <c r="G28" s="10" t="str" cm="1">
        <f t="array" ref="G28">IF(ROW(G28)-ROW(G$4)+1&gt;COUNT(I$1:I$40),"",INDEX(H:H,SMALL(I$1:I$40,1+ROW(G28)-ROW(G$4))))</f>
        <v/>
      </c>
      <c r="H28">
        <v>28</v>
      </c>
      <c r="I28" s="1" t="str">
        <f t="shared" si="0"/>
        <v/>
      </c>
      <c r="J28" s="1" t="str" cm="1">
        <f t="array" ref="J28">IF(ROW(G31)-ROW(G$4)+1&gt;COUNT(I$1:I$40),"",INDEX(H:H,SMALL(I$1:I$40,1+ROW(G31)-ROW(G$4))))</f>
        <v/>
      </c>
      <c r="P28" t="str">
        <f ca="1">IF(Summary!J29="","",IF(F28=Summary!J29,"Right","Wrong"))</f>
        <v>Right</v>
      </c>
    </row>
    <row r="29" spans="1:16" ht="18" customHeight="1" x14ac:dyDescent="0.4">
      <c r="A29" s="4">
        <v>43829</v>
      </c>
      <c r="B29" s="5" t="s">
        <v>83</v>
      </c>
      <c r="C29" s="12" t="s">
        <v>84</v>
      </c>
      <c r="D29" s="13" t="s">
        <v>85</v>
      </c>
      <c r="E29" s="8" t="s">
        <v>84</v>
      </c>
      <c r="F29" s="9">
        <v>37</v>
      </c>
      <c r="G29" s="10" t="str" cm="1">
        <f t="array" ref="G29">IF(ROW(G29)-ROW(G$4)+1&gt;COUNT(I$1:I$40),"",INDEX(H:H,SMALL(I$1:I$40,1+ROW(G29)-ROW(G$4))))</f>
        <v/>
      </c>
      <c r="H29">
        <v>29</v>
      </c>
      <c r="I29" s="1" t="str">
        <f t="shared" si="0"/>
        <v/>
      </c>
      <c r="J29" s="1" t="str" cm="1">
        <f t="array" ref="J29">IF(ROW(G32)-ROW(G$4)+1&gt;COUNT(I$1:I$40),"",INDEX(H:H,SMALL(I$1:I$40,1+ROW(G32)-ROW(G$4))))</f>
        <v/>
      </c>
      <c r="P29" t="str">
        <f ca="1">IF(Summary!J30="","",IF(F29=Summary!J30,"Right","Wrong"))</f>
        <v>Right</v>
      </c>
    </row>
    <row r="30" spans="1:16" ht="18" customHeight="1" x14ac:dyDescent="0.4">
      <c r="A30" s="4">
        <v>43830</v>
      </c>
      <c r="B30" s="5" t="s">
        <v>86</v>
      </c>
      <c r="C30" s="12" t="s">
        <v>87</v>
      </c>
      <c r="D30" s="13" t="s">
        <v>88</v>
      </c>
      <c r="E30" s="8" t="s">
        <v>88</v>
      </c>
      <c r="F30" s="9">
        <v>36</v>
      </c>
      <c r="G30" s="10" t="str" cm="1">
        <f t="array" ref="G30">IF(ROW(G30)-ROW(G$4)+1&gt;COUNT(I$1:I$40),"",INDEX(H:H,SMALL(I$1:I$40,1+ROW(G30)-ROW(G$4))))</f>
        <v/>
      </c>
      <c r="H30">
        <v>30</v>
      </c>
      <c r="I30" s="1" t="str">
        <f t="shared" si="0"/>
        <v/>
      </c>
      <c r="J30" s="1" t="str" cm="1">
        <f t="array" ref="J30">IF(ROW(G33)-ROW(G$4)+1&gt;COUNT(I$1:I$40),"",INDEX(H:H,SMALL(I$1:I$40,1+ROW(G33)-ROW(G$4))))</f>
        <v/>
      </c>
      <c r="P30" t="str">
        <f ca="1">IF(Summary!J31="","",IF(F30=Summary!J31,"Right","Wrong"))</f>
        <v>Wrong</v>
      </c>
    </row>
    <row r="31" spans="1:16" ht="18" customHeight="1" x14ac:dyDescent="0.4">
      <c r="A31" s="4">
        <v>43830</v>
      </c>
      <c r="B31" s="5" t="s">
        <v>89</v>
      </c>
      <c r="C31" s="12" t="s">
        <v>90</v>
      </c>
      <c r="D31" s="13" t="s">
        <v>91</v>
      </c>
      <c r="E31" s="8" t="s">
        <v>91</v>
      </c>
      <c r="F31" s="9">
        <v>35</v>
      </c>
      <c r="G31" s="10" t="str" cm="1">
        <f t="array" ref="G31">IF(ROW(G31)-ROW(G$4)+1&gt;COUNT(I$1:I$40),"",INDEX(H:H,SMALL(I$1:I$40,1+ROW(G31)-ROW(G$4))))</f>
        <v/>
      </c>
      <c r="H31">
        <v>31</v>
      </c>
      <c r="I31" s="1" t="str">
        <f t="shared" si="0"/>
        <v/>
      </c>
      <c r="J31" s="1" t="str" cm="1">
        <f t="array" ref="J31">IF(ROW(G34)-ROW(G$4)+1&gt;COUNT(I$1:I$40),"",INDEX(H:H,SMALL(I$1:I$40,1+ROW(G34)-ROW(G$4))))</f>
        <v/>
      </c>
      <c r="P31" t="str">
        <f ca="1">IF(Summary!J32="","",IF(F31=Summary!J32,"Right","Wrong"))</f>
        <v>Right</v>
      </c>
    </row>
    <row r="32" spans="1:16" ht="18" customHeight="1" x14ac:dyDescent="0.4">
      <c r="A32" s="4">
        <v>43830</v>
      </c>
      <c r="B32" s="5" t="s">
        <v>92</v>
      </c>
      <c r="C32" s="12" t="s">
        <v>93</v>
      </c>
      <c r="D32" s="13" t="s">
        <v>94</v>
      </c>
      <c r="E32" s="8" t="s">
        <v>93</v>
      </c>
      <c r="F32" s="9">
        <v>9</v>
      </c>
      <c r="G32" s="10" t="str" cm="1">
        <f t="array" ref="G32">IF(ROW(G32)-ROW(G$4)+1&gt;COUNT(I$1:I$40),"",INDEX(H:H,SMALL(I$1:I$40,1+ROW(G32)-ROW(G$4))))</f>
        <v/>
      </c>
      <c r="H32">
        <v>32</v>
      </c>
      <c r="I32" s="1" t="str">
        <f t="shared" si="0"/>
        <v/>
      </c>
      <c r="J32" s="1" t="str" cm="1">
        <f t="array" ref="J32">IF(ROW(G35)-ROW(G$4)+1&gt;COUNT(I$1:I$40),"",INDEX(H:H,SMALL(I$1:I$40,1+ROW(G35)-ROW(G$4))))</f>
        <v/>
      </c>
      <c r="P32" t="str">
        <f ca="1">IF(Summary!J33="","",IF(F32=Summary!J33,"Right","Wrong"))</f>
        <v>Right</v>
      </c>
    </row>
    <row r="33" spans="1:16" ht="18" customHeight="1" x14ac:dyDescent="0.4">
      <c r="A33" s="4">
        <v>43830</v>
      </c>
      <c r="B33" s="5" t="s">
        <v>95</v>
      </c>
      <c r="C33" s="12" t="s">
        <v>96</v>
      </c>
      <c r="D33" s="13" t="s">
        <v>97</v>
      </c>
      <c r="E33" s="8" t="s">
        <v>97</v>
      </c>
      <c r="F33" s="9">
        <v>15</v>
      </c>
      <c r="G33" s="10" t="str" cm="1">
        <f t="array" ref="G33">IF(ROW(G33)-ROW(G$4)+1&gt;COUNT(I$1:I$40),"",INDEX(H:H,SMALL(I$1:I$40,1+ROW(G33)-ROW(G$4))))</f>
        <v/>
      </c>
      <c r="H33">
        <v>33</v>
      </c>
      <c r="I33" s="1" t="str">
        <f t="shared" si="0"/>
        <v/>
      </c>
      <c r="J33" s="1" t="str" cm="1">
        <f t="array" ref="J33">IF(ROW(G36)-ROW(G$4)+1&gt;COUNT(I$1:I$40),"",INDEX(H:H,SMALL(I$1:I$40,1+ROW(G36)-ROW(G$4))))</f>
        <v/>
      </c>
      <c r="P33" t="str">
        <f ca="1">IF(Summary!J34="","",IF(F33=Summary!J34,"Right","Wrong"))</f>
        <v>Right</v>
      </c>
    </row>
    <row r="34" spans="1:16" ht="18" customHeight="1" x14ac:dyDescent="0.4">
      <c r="A34" s="4">
        <v>43830</v>
      </c>
      <c r="B34" s="5" t="s">
        <v>98</v>
      </c>
      <c r="C34" s="12" t="s">
        <v>99</v>
      </c>
      <c r="D34" s="13" t="s">
        <v>100</v>
      </c>
      <c r="E34" s="8" t="s">
        <v>99</v>
      </c>
      <c r="F34" s="9">
        <v>18</v>
      </c>
      <c r="G34" s="10" t="str" cm="1">
        <f t="array" ref="G34">IF(ROW(G34)-ROW(G$4)+1&gt;COUNT(I$1:I$40),"",INDEX(H:H,SMALL(I$1:I$40,1+ROW(G34)-ROW(G$4))))</f>
        <v/>
      </c>
      <c r="H34">
        <v>34</v>
      </c>
      <c r="I34" s="1" t="str">
        <f t="shared" si="0"/>
        <v/>
      </c>
      <c r="J34" s="1" t="str" cm="1">
        <f t="array" ref="J34">IF(ROW(G37)-ROW(G$4)+1&gt;COUNT(I$1:I$40),"",INDEX(H:H,SMALL(I$1:I$40,1+ROW(G37)-ROW(G$4))))</f>
        <v/>
      </c>
      <c r="P34" t="str">
        <f ca="1">IF(Summary!J35="","",IF(F34=Summary!J35,"Right","Wrong"))</f>
        <v>Wrong</v>
      </c>
    </row>
    <row r="35" spans="1:16" ht="18" customHeight="1" x14ac:dyDescent="0.4">
      <c r="A35" s="4">
        <v>43466</v>
      </c>
      <c r="B35" s="5" t="s">
        <v>101</v>
      </c>
      <c r="C35" s="12" t="s">
        <v>102</v>
      </c>
      <c r="D35" s="13" t="s">
        <v>103</v>
      </c>
      <c r="E35" s="8" t="s">
        <v>102</v>
      </c>
      <c r="F35" s="9">
        <v>39</v>
      </c>
      <c r="G35" s="10" t="str" cm="1">
        <f t="array" ref="G35">IF(ROW(G35)-ROW(G$4)+1&gt;COUNT(I$1:I$40),"",INDEX(H:H,SMALL(I$1:I$40,1+ROW(G35)-ROW(G$4))))</f>
        <v/>
      </c>
      <c r="H35">
        <v>35</v>
      </c>
      <c r="I35" s="1" t="str">
        <f t="shared" si="0"/>
        <v/>
      </c>
      <c r="J35" s="1" t="str" cm="1">
        <f t="array" ref="J35">IF(ROW(G38)-ROW(G$4)+1&gt;COUNT(I$1:I$40),"",INDEX(H:H,SMALL(I$1:I$40,1+ROW(G38)-ROW(G$4))))</f>
        <v/>
      </c>
      <c r="P35" t="str">
        <f ca="1">IF(Summary!J36="","",IF(F35=Summary!J36,"Right","Wrong"))</f>
        <v>Right</v>
      </c>
    </row>
    <row r="36" spans="1:16" ht="18" customHeight="1" x14ac:dyDescent="0.4">
      <c r="A36" s="4">
        <v>43466</v>
      </c>
      <c r="B36" s="5" t="s">
        <v>104</v>
      </c>
      <c r="C36" s="12" t="s">
        <v>105</v>
      </c>
      <c r="D36" s="13" t="s">
        <v>106</v>
      </c>
      <c r="E36" s="8" t="s">
        <v>105</v>
      </c>
      <c r="F36" s="9">
        <v>38</v>
      </c>
      <c r="G36" s="10" t="str" cm="1">
        <f t="array" ref="G36">IF(ROW(G36)-ROW(G$4)+1&gt;COUNT(I$1:I$40),"",INDEX(H:H,SMALL(I$1:I$40,1+ROW(G36)-ROW(G$4))))</f>
        <v/>
      </c>
      <c r="H36">
        <v>36</v>
      </c>
      <c r="I36" s="1" t="str">
        <f t="shared" si="0"/>
        <v/>
      </c>
      <c r="J36" s="1" t="str" cm="1">
        <f t="array" ref="J36">IF(ROW(G39)-ROW(G$4)+1&gt;COUNT(I$1:I$40),"",INDEX(H:H,SMALL(I$1:I$40,1+ROW(G39)-ROW(G$4))))</f>
        <v/>
      </c>
      <c r="P36" t="str">
        <f ca="1">IF(Summary!J37="","",IF(F36=Summary!J37,"Right","Wrong"))</f>
        <v>Wrong</v>
      </c>
    </row>
    <row r="37" spans="1:16" ht="18" customHeight="1" x14ac:dyDescent="0.4">
      <c r="A37" s="4">
        <v>43466</v>
      </c>
      <c r="B37" s="5" t="s">
        <v>107</v>
      </c>
      <c r="C37" s="12" t="s">
        <v>108</v>
      </c>
      <c r="D37" s="13" t="s">
        <v>109</v>
      </c>
      <c r="E37" s="8" t="s">
        <v>109</v>
      </c>
      <c r="F37" s="9">
        <v>10</v>
      </c>
      <c r="G37" s="10" t="str" cm="1">
        <f t="array" ref="G37">IF(ROW(G37)-ROW(G$4)+1&gt;COUNT(I$1:I$40),"",INDEX(H:H,SMALL(I$1:I$40,1+ROW(G37)-ROW(G$4))))</f>
        <v/>
      </c>
      <c r="H37">
        <v>37</v>
      </c>
      <c r="I37" s="1" t="str">
        <f t="shared" si="0"/>
        <v/>
      </c>
      <c r="J37" s="1" t="str" cm="1">
        <f t="array" ref="J37">IF(ROW(G40)-ROW(G$4)+1&gt;COUNT(I$1:I$40),"",INDEX(H:H,SMALL(I$1:I$40,1+ROW(G40)-ROW(G$4))))</f>
        <v/>
      </c>
      <c r="P37" t="str">
        <f ca="1">IF(Summary!J38="","",IF(F37=Summary!J38,"Right","Wrong"))</f>
        <v>Wrong</v>
      </c>
    </row>
    <row r="38" spans="1:16" ht="18" customHeight="1" x14ac:dyDescent="0.4">
      <c r="A38" s="4">
        <v>43466</v>
      </c>
      <c r="B38" s="5" t="s">
        <v>110</v>
      </c>
      <c r="C38" s="12" t="s">
        <v>111</v>
      </c>
      <c r="D38" s="13" t="s">
        <v>112</v>
      </c>
      <c r="E38" s="8" t="s">
        <v>111</v>
      </c>
      <c r="F38" s="9">
        <v>34</v>
      </c>
      <c r="G38" s="10" t="str" cm="1">
        <f t="array" ref="G38">IF(ROW(G38)-ROW(G$4)+1&gt;COUNT(I$1:I$40),"",INDEX(H:H,SMALL(I$1:I$40,1+ROW(G38)-ROW(G$4))))</f>
        <v/>
      </c>
      <c r="H38">
        <v>38</v>
      </c>
      <c r="I38" s="1" t="str">
        <f t="shared" si="0"/>
        <v/>
      </c>
      <c r="J38" s="1" t="str" cm="1">
        <f t="array" ref="J38">IF(ROW(G41)-ROW(G$4)+1&gt;COUNT(I$1:I$40),"",INDEX(H:H,SMALL(I$1:I$40,1+ROW(G41)-ROW(G$4))))</f>
        <v/>
      </c>
      <c r="P38" t="str">
        <f ca="1">IF(Summary!J39="","",IF(F38=Summary!J39,"Right","Wrong"))</f>
        <v>Right</v>
      </c>
    </row>
    <row r="39" spans="1:16" ht="18" customHeight="1" x14ac:dyDescent="0.4">
      <c r="A39" s="4">
        <v>43467</v>
      </c>
      <c r="B39" s="5" t="s">
        <v>113</v>
      </c>
      <c r="C39" s="12" t="s">
        <v>114</v>
      </c>
      <c r="D39" s="13" t="s">
        <v>115</v>
      </c>
      <c r="E39" s="8" t="s">
        <v>115</v>
      </c>
      <c r="F39" s="9">
        <v>26</v>
      </c>
      <c r="G39" s="10" t="str" cm="1">
        <f t="array" ref="G39">IF(ROW(G39)-ROW(G$4)+1&gt;COUNT(I$1:I$40),"",INDEX(H:H,SMALL(I$1:I$40,1+ROW(G39)-ROW(G$4))))</f>
        <v/>
      </c>
      <c r="H39">
        <v>39</v>
      </c>
      <c r="I39" s="1" t="str">
        <f t="shared" si="0"/>
        <v/>
      </c>
      <c r="J39" s="1" t="str" cm="1">
        <f t="array" ref="J39">IF(ROW(G42)-ROW(G$4)+1&gt;COUNT(I$1:I$40),"",INDEX(H:H,SMALL(I$1:I$40,1+ROW(G42)-ROW(G$4))))</f>
        <v/>
      </c>
      <c r="P39" t="str">
        <f ca="1">IF(Summary!J40="","",IF(F39=Summary!J40,"Right","Wrong"))</f>
        <v>Right</v>
      </c>
    </row>
    <row r="40" spans="1:16" ht="18" customHeight="1" x14ac:dyDescent="0.4">
      <c r="A40" s="4">
        <v>43467</v>
      </c>
      <c r="B40" s="5" t="s">
        <v>116</v>
      </c>
      <c r="C40" s="12" t="s">
        <v>117</v>
      </c>
      <c r="D40" s="13" t="s">
        <v>118</v>
      </c>
      <c r="E40" s="8" t="s">
        <v>117</v>
      </c>
      <c r="F40" s="9">
        <v>30</v>
      </c>
      <c r="G40" s="10" t="str" cm="1">
        <f t="array" ref="G40">IF(ROW(G40)-ROW(G$4)+1&gt;COUNT(I$1:I$40),"",INDEX(H:H,SMALL(I$1:I$40,1+ROW(G40)-ROW(G$4))))</f>
        <v/>
      </c>
      <c r="H40">
        <v>40</v>
      </c>
      <c r="I40" s="1" t="str">
        <f t="shared" si="0"/>
        <v/>
      </c>
      <c r="J40" s="1" t="str" cm="1">
        <f t="array" ref="J40">IF(ROW(G43)-ROW(G$4)+1&gt;COUNT(I$1:I$40),"",INDEX(H:H,SMALL(I$1:I$40,1+ROW(G43)-ROW(G$4))))</f>
        <v/>
      </c>
      <c r="P40" t="str">
        <f ca="1">IF(Summary!J41="","",IF(F40=Summary!J41,"Right","Wrong"))</f>
        <v>Right</v>
      </c>
    </row>
    <row r="41" spans="1:16" ht="18" customHeight="1" x14ac:dyDescent="0.4">
      <c r="A41" s="4">
        <v>43468</v>
      </c>
      <c r="B41" s="5" t="s">
        <v>119</v>
      </c>
      <c r="C41" s="12" t="s">
        <v>120</v>
      </c>
      <c r="D41" s="13" t="s">
        <v>121</v>
      </c>
      <c r="E41" s="8" t="s">
        <v>121</v>
      </c>
      <c r="F41" s="9">
        <v>23</v>
      </c>
      <c r="G41" s="10" t="str" cm="1">
        <f t="array" ref="G41">IF(ROW(G41)-ROW(G$4)+1&gt;COUNT(I$1:I$40),"",INDEX(H:H,SMALL(I$1:I$40,1+ROW(G41)-ROW(G$4))))</f>
        <v/>
      </c>
      <c r="I41" s="1"/>
      <c r="J41" s="1" t="str" cm="1">
        <f t="array" ref="J41">IF(ROW(G44)-ROW(G$4)+1&gt;COUNT(I$1:I$40),"",INDEX(H:H,SMALL(I$1:I$40,1+ROW(G44)-ROW(G$4))))</f>
        <v/>
      </c>
      <c r="P41" t="str">
        <f ca="1">IF(Summary!J42="","",IF(F41=Summary!J42,"Right","Wrong"))</f>
        <v>Wrong</v>
      </c>
    </row>
    <row r="42" spans="1:16" ht="18" customHeight="1" x14ac:dyDescent="0.4">
      <c r="A42" s="4">
        <v>43469</v>
      </c>
      <c r="B42" s="5" t="s">
        <v>122</v>
      </c>
      <c r="C42" s="12" t="s">
        <v>123</v>
      </c>
      <c r="D42" s="13" t="s">
        <v>124</v>
      </c>
      <c r="E42" s="8" t="s">
        <v>123</v>
      </c>
      <c r="F42" s="9">
        <v>24</v>
      </c>
      <c r="G42" s="10" t="str" cm="1">
        <f t="array" ref="G42">IF(ROW(G42)-ROW(G$4)+1&gt;COUNT(I$1:I$40),"",INDEX(H:H,SMALL(I$1:I$40,1+ROW(G42)-ROW(G$4))))</f>
        <v/>
      </c>
      <c r="H42" s="14"/>
      <c r="P42" t="str">
        <f ca="1">IF(Summary!J43="","",IF(F42=Summary!J43,"Right","Wrong"))</f>
        <v>Right</v>
      </c>
    </row>
    <row r="43" spans="1:16" ht="18" customHeight="1" thickBot="1" x14ac:dyDescent="0.45">
      <c r="A43" s="15">
        <v>43471</v>
      </c>
      <c r="B43" s="16" t="s">
        <v>125</v>
      </c>
      <c r="C43" s="17" t="s">
        <v>126</v>
      </c>
      <c r="D43" s="18" t="s">
        <v>127</v>
      </c>
      <c r="E43" s="19" t="s">
        <v>126</v>
      </c>
      <c r="F43" s="20">
        <v>17</v>
      </c>
      <c r="G43" s="21" t="str" cm="1">
        <f t="array" ref="G43">IF(ROW(G43)-ROW(G$4)+1&gt;COUNT(I$1:I$40),"",INDEX(H:H,SMALL(I$1:I$40,1+ROW(G43)-ROW(G$4))))</f>
        <v/>
      </c>
      <c r="H43" s="14"/>
      <c r="P43" t="str">
        <f ca="1">IF(Summary!J44="","",IF(F43=Summary!J44,"Right","Wrong"))</f>
        <v>Right</v>
      </c>
    </row>
    <row r="44" spans="1:16" ht="18" customHeight="1" x14ac:dyDescent="0.4">
      <c r="A44" s="22"/>
      <c r="B44" s="104" t="s">
        <v>128</v>
      </c>
      <c r="C44" s="104"/>
      <c r="D44" s="104"/>
      <c r="E44" s="23" t="s">
        <v>69</v>
      </c>
      <c r="F44" s="24">
        <v>65</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41" priority="4">
      <formula>LEN(TRIM(B1))=0</formula>
    </cfRule>
  </conditionalFormatting>
  <conditionalFormatting sqref="F4:F44">
    <cfRule type="duplicateValues" dxfId="40" priority="3"/>
  </conditionalFormatting>
  <conditionalFormatting sqref="P4:P43">
    <cfRule type="cellIs" dxfId="39" priority="1" operator="equal">
      <formula>"Wrong"</formula>
    </cfRule>
    <cfRule type="cellIs" dxfId="38" priority="2" operator="equal">
      <formula>"Right"</formula>
    </cfRule>
  </conditionalFormatting>
  <dataValidations count="3">
    <dataValidation type="list" allowBlank="1" showInputMessage="1" sqref="F4:F43" xr:uid="{FD740006-2ABE-4F1F-BD24-A3307FB2FDB1}">
      <formula1>Confidence_Count</formula1>
    </dataValidation>
    <dataValidation type="list" errorStyle="warning" allowBlank="1" showInputMessage="1" sqref="E4:E43" xr:uid="{EE4B6880-1547-4932-A47F-F6790FA6AC75}">
      <formula1>$C4:$D4</formula1>
    </dataValidation>
    <dataValidation type="list" allowBlank="1" showInputMessage="1" showErrorMessage="1" sqref="E44" xr:uid="{E4CF340A-613E-43FE-99BE-B2EC82CA7092}">
      <formula1>"LSU,Ohio State,Clemson,Oklahoma"</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4AC3-7BC2-4A1F-A108-113982069E4D}">
  <sheetPr codeName="Sheet13"/>
  <dimension ref="A1:S44"/>
  <sheetViews>
    <sheetView showGridLines="0" topLeftCell="C1" workbookViewId="0">
      <selection activeCell="P4" sqref="P4:P43"/>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ht="14.5" customHeight="1" x14ac:dyDescent="0.35">
      <c r="A1" s="105" t="s">
        <v>0</v>
      </c>
      <c r="B1" s="105" t="s">
        <v>160</v>
      </c>
      <c r="F1" s="107" t="s">
        <v>1</v>
      </c>
      <c r="G1" s="105" t="str">
        <f>IF(ISBLANK([2]Instructions!G4),"",[2]Instructions!G4)</f>
        <v>Yes</v>
      </c>
      <c r="H1">
        <v>1</v>
      </c>
      <c r="I1" s="1" t="str">
        <f t="shared" ref="I1:I40" si="0">IF(COUNTIF($F$4:$F$43,H1)&gt;=1,"",ROW())</f>
        <v/>
      </c>
      <c r="J1" s="1" t="str" cm="1">
        <f t="array" ref="J1">IF(ROW(G4)-ROW(G$4)+1&gt;COUNT(I$1:I$40),"",INDEX(H:H,SMALL(I$1:I$40,1+ROW(G4)-ROW(G$4))))</f>
        <v/>
      </c>
    </row>
    <row r="2" spans="1:19" ht="15" customHeight="1"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70" t="s">
        <v>2</v>
      </c>
      <c r="B3" s="70" t="s">
        <v>3</v>
      </c>
      <c r="C3" s="109" t="s">
        <v>4</v>
      </c>
      <c r="D3" s="109"/>
      <c r="E3" s="70" t="s">
        <v>5</v>
      </c>
      <c r="F3" s="70" t="s">
        <v>6</v>
      </c>
      <c r="G3" s="70" t="s">
        <v>7</v>
      </c>
      <c r="H3">
        <v>3</v>
      </c>
      <c r="I3" s="1" t="str">
        <f t="shared" si="0"/>
        <v/>
      </c>
      <c r="J3" s="1" t="str" cm="1">
        <f t="array" ref="J3">IF(ROW(G6)-ROW(G$4)+1&gt;COUNT(I$1:I$40),"",INDEX(H:H,SMALL(I$1:I$40,1+ROW(G6)-ROW(G$4))))</f>
        <v/>
      </c>
      <c r="P3" t="str">
        <f ca="1">_xlfn.CONCAT(COUNTIF(P4:P43,"Right")&amp;"/"&amp;(COUNTIF(P4:P43,"Right")+COUNTIF(P4:P43,"Wrong")))</f>
        <v>25/40</v>
      </c>
    </row>
    <row r="4" spans="1:19" ht="18" customHeight="1" thickTop="1" x14ac:dyDescent="0.4">
      <c r="A4" s="4">
        <v>43819</v>
      </c>
      <c r="B4" s="5" t="s">
        <v>8</v>
      </c>
      <c r="C4" s="6" t="s">
        <v>9</v>
      </c>
      <c r="D4" s="7" t="s">
        <v>10</v>
      </c>
      <c r="E4" s="8" t="s">
        <v>9</v>
      </c>
      <c r="F4" s="9">
        <v>20</v>
      </c>
      <c r="G4" s="10" t="str" cm="1">
        <f t="array" ref="G4">IF(ROW(G4)-ROW(G$4)+1&gt;COUNT(I$1:I$40),"",INDEX(H:H,SMALL(I$1:I$40,1+ROW(G4)-ROW(G$4))))</f>
        <v/>
      </c>
      <c r="H4">
        <v>4</v>
      </c>
      <c r="I4" s="1" t="str">
        <f t="shared" si="0"/>
        <v/>
      </c>
      <c r="J4" s="1" t="str" cm="1">
        <f t="array" ref="J4">IF(ROW(G7)-ROW(G$4)+1&gt;COUNT(I$1:I$40),"",INDEX(H:H,SMALL(I$1:I$40,1+ROW(G7)-ROW(G$4))))</f>
        <v/>
      </c>
      <c r="N4" s="11"/>
      <c r="P4" t="str">
        <f ca="1">IF(Summary!K5="","",IF(F4=Summary!K5,"Right","Wrong"))</f>
        <v>Right</v>
      </c>
    </row>
    <row r="5" spans="1:19" ht="18" customHeight="1" x14ac:dyDescent="0.4">
      <c r="A5" s="4">
        <v>43819</v>
      </c>
      <c r="B5" s="5" t="s">
        <v>11</v>
      </c>
      <c r="C5" s="12" t="s">
        <v>12</v>
      </c>
      <c r="D5" s="13" t="s">
        <v>13</v>
      </c>
      <c r="E5" s="8" t="s">
        <v>12</v>
      </c>
      <c r="F5" s="9">
        <v>31</v>
      </c>
      <c r="G5" s="10" t="str" cm="1">
        <f t="array" ref="G5">IF(ROW(G5)-ROW(G$4)+1&gt;COUNT(I$1:I$40),"",INDEX(H:H,SMALL(I$1:I$40,1+ROW(G5)-ROW(G$4))))</f>
        <v/>
      </c>
      <c r="H5">
        <v>5</v>
      </c>
      <c r="I5" s="1" t="str">
        <f t="shared" si="0"/>
        <v/>
      </c>
      <c r="J5" s="1" t="str" cm="1">
        <f t="array" ref="J5">IF(ROW(G8)-ROW(G$4)+1&gt;COUNT(I$1:I$40),"",INDEX(H:H,SMALL(I$1:I$40,1+ROW(G8)-ROW(G$4))))</f>
        <v/>
      </c>
      <c r="P5" t="str">
        <f ca="1">IF(Summary!K6="","",IF(F5=Summary!K6,"Right","Wrong"))</f>
        <v>Wrong</v>
      </c>
    </row>
    <row r="6" spans="1:19" ht="18" customHeight="1" x14ac:dyDescent="0.4">
      <c r="A6" s="4">
        <v>43820</v>
      </c>
      <c r="B6" s="5" t="s">
        <v>14</v>
      </c>
      <c r="C6" s="12" t="s">
        <v>15</v>
      </c>
      <c r="D6" s="13" t="s">
        <v>16</v>
      </c>
      <c r="E6" s="8" t="s">
        <v>16</v>
      </c>
      <c r="F6" s="9">
        <v>12</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IF(Summary!K7="","",IF(F6=Summary!K7,"Right","Wrong"))</f>
        <v>Right</v>
      </c>
    </row>
    <row r="7" spans="1:19" ht="18" customHeight="1" x14ac:dyDescent="0.4">
      <c r="A7" s="4">
        <v>43820</v>
      </c>
      <c r="B7" s="5" t="s">
        <v>17</v>
      </c>
      <c r="C7" s="12" t="s">
        <v>18</v>
      </c>
      <c r="D7" s="13" t="s">
        <v>19</v>
      </c>
      <c r="E7" s="8" t="s">
        <v>19</v>
      </c>
      <c r="F7" s="9">
        <v>10</v>
      </c>
      <c r="G7" s="10" t="str" cm="1">
        <f t="array" ref="G7">IF(ROW(G7)-ROW(G$4)+1&gt;COUNT(I$1:I$40),"",INDEX(H:H,SMALL(I$1:I$40,1+ROW(G7)-ROW(G$4))))</f>
        <v/>
      </c>
      <c r="H7">
        <v>7</v>
      </c>
      <c r="I7" s="1" t="str">
        <f t="shared" si="0"/>
        <v/>
      </c>
      <c r="J7" s="1" t="str" cm="1">
        <f t="array" ref="J7">IF(ROW(G10)-ROW(G$4)+1&gt;COUNT(I$1:I$40),"",INDEX(H:H,SMALL(I$1:I$40,1+ROW(G10)-ROW(G$4))))</f>
        <v/>
      </c>
      <c r="P7" t="str">
        <f ca="1">IF(Summary!K8="","",IF(F7=Summary!K8,"Right","Wrong"))</f>
        <v>Wrong</v>
      </c>
      <c r="R7" s="103"/>
      <c r="S7" s="103"/>
    </row>
    <row r="8" spans="1:19" ht="18" customHeight="1" x14ac:dyDescent="0.4">
      <c r="A8" s="4">
        <v>43820</v>
      </c>
      <c r="B8" s="5" t="s">
        <v>20</v>
      </c>
      <c r="C8" s="12" t="s">
        <v>21</v>
      </c>
      <c r="D8" s="13" t="s">
        <v>22</v>
      </c>
      <c r="E8" s="8" t="s">
        <v>21</v>
      </c>
      <c r="F8" s="9">
        <v>24</v>
      </c>
      <c r="G8" s="10" t="str" cm="1">
        <f t="array" ref="G8">IF(ROW(G8)-ROW(G$4)+1&gt;COUNT(I$1:I$40),"",INDEX(H:H,SMALL(I$1:I$40,1+ROW(G8)-ROW(G$4))))</f>
        <v/>
      </c>
      <c r="H8">
        <v>8</v>
      </c>
      <c r="I8" s="1" t="str">
        <f t="shared" si="0"/>
        <v/>
      </c>
      <c r="J8" s="1" t="str" cm="1">
        <f t="array" ref="J8">IF(ROW(G11)-ROW(G$4)+1&gt;COUNT(I$1:I$40),"",INDEX(H:H,SMALL(I$1:I$40,1+ROW(G11)-ROW(G$4))))</f>
        <v/>
      </c>
      <c r="P8" t="str">
        <f ca="1">IF(Summary!K9="","",IF(F8=Summary!K9,"Right","Wrong"))</f>
        <v>Wrong</v>
      </c>
      <c r="R8" s="103"/>
      <c r="S8" s="103"/>
    </row>
    <row r="9" spans="1:19" ht="18" customHeight="1" x14ac:dyDescent="0.4">
      <c r="A9" s="4">
        <v>43820</v>
      </c>
      <c r="B9" s="5" t="s">
        <v>23</v>
      </c>
      <c r="C9" s="12" t="s">
        <v>24</v>
      </c>
      <c r="D9" s="13" t="s">
        <v>25</v>
      </c>
      <c r="E9" s="8" t="s">
        <v>24</v>
      </c>
      <c r="F9" s="9">
        <v>19</v>
      </c>
      <c r="G9" s="10" t="str" cm="1">
        <f t="array" ref="G9">IF(ROW(G9)-ROW(G$4)+1&gt;COUNT(I$1:I$40),"",INDEX(H:H,SMALL(I$1:I$40,1+ROW(G9)-ROW(G$4))))</f>
        <v/>
      </c>
      <c r="H9">
        <v>9</v>
      </c>
      <c r="I9" s="1" t="str">
        <f t="shared" si="0"/>
        <v/>
      </c>
      <c r="J9" s="1" t="str" cm="1">
        <f t="array" ref="J9">IF(ROW(G12)-ROW(G$4)+1&gt;COUNT(I$1:I$40),"",INDEX(H:H,SMALL(I$1:I$40,1+ROW(G12)-ROW(G$4))))</f>
        <v/>
      </c>
      <c r="P9" t="str">
        <f ca="1">IF(Summary!K10="","",IF(F9=Summary!K10,"Right","Wrong"))</f>
        <v>Wrong</v>
      </c>
    </row>
    <row r="10" spans="1:19" ht="18" customHeight="1" x14ac:dyDescent="0.4">
      <c r="A10" s="4">
        <v>43820</v>
      </c>
      <c r="B10" s="5" t="s">
        <v>26</v>
      </c>
      <c r="C10" s="12" t="s">
        <v>27</v>
      </c>
      <c r="D10" s="13" t="s">
        <v>28</v>
      </c>
      <c r="E10" s="8" t="s">
        <v>28</v>
      </c>
      <c r="F10" s="9">
        <v>28</v>
      </c>
      <c r="G10" s="10" t="str" cm="1">
        <f t="array" ref="G10">IF(ROW(G10)-ROW(G$4)+1&gt;COUNT(I$1:I$40),"",INDEX(H:H,SMALL(I$1:I$40,1+ROW(G10)-ROW(G$4))))</f>
        <v/>
      </c>
      <c r="H10">
        <v>10</v>
      </c>
      <c r="I10" s="1" t="str">
        <f t="shared" si="0"/>
        <v/>
      </c>
      <c r="J10" s="1" t="str" cm="1">
        <f t="array" ref="J10">IF(ROW(G13)-ROW(G$4)+1&gt;COUNT(I$1:I$40),"",INDEX(H:H,SMALL(I$1:I$40,1+ROW(G13)-ROW(G$4))))</f>
        <v/>
      </c>
      <c r="P10" t="str">
        <f ca="1">IF(Summary!K11="","",IF(F10=Summary!K11,"Right","Wrong"))</f>
        <v>Right</v>
      </c>
    </row>
    <row r="11" spans="1:19" ht="18" customHeight="1" x14ac:dyDescent="0.4">
      <c r="A11" s="4">
        <v>43820</v>
      </c>
      <c r="B11" s="5" t="s">
        <v>29</v>
      </c>
      <c r="C11" s="12" t="s">
        <v>30</v>
      </c>
      <c r="D11" s="13" t="s">
        <v>31</v>
      </c>
      <c r="E11" s="8" t="s">
        <v>30</v>
      </c>
      <c r="F11" s="9">
        <v>22</v>
      </c>
      <c r="G11" s="10" t="str" cm="1">
        <f t="array" ref="G11">IF(ROW(G11)-ROW(G$4)+1&gt;COUNT(I$1:I$40),"",INDEX(H:H,SMALL(I$1:I$40,1+ROW(G11)-ROW(G$4))))</f>
        <v/>
      </c>
      <c r="H11">
        <v>11</v>
      </c>
      <c r="I11" s="1" t="str">
        <f t="shared" si="0"/>
        <v/>
      </c>
      <c r="J11" s="1" t="str" cm="1">
        <f t="array" ref="J11">IF(ROW(G14)-ROW(G$4)+1&gt;COUNT(I$1:I$40),"",INDEX(H:H,SMALL(I$1:I$40,1+ROW(G14)-ROW(G$4))))</f>
        <v/>
      </c>
      <c r="P11" t="str">
        <f ca="1">IF(Summary!K12="","",IF(F11=Summary!K12,"Right","Wrong"))</f>
        <v>Right</v>
      </c>
    </row>
    <row r="12" spans="1:19" ht="18" customHeight="1" x14ac:dyDescent="0.4">
      <c r="A12" s="4">
        <v>43820</v>
      </c>
      <c r="B12" s="5" t="s">
        <v>32</v>
      </c>
      <c r="C12" s="12" t="s">
        <v>33</v>
      </c>
      <c r="D12" s="13" t="s">
        <v>34</v>
      </c>
      <c r="E12" s="8" t="s">
        <v>33</v>
      </c>
      <c r="F12" s="9">
        <v>35</v>
      </c>
      <c r="G12" s="10" t="str" cm="1">
        <f t="array" ref="G12">IF(ROW(G12)-ROW(G$4)+1&gt;COUNT(I$1:I$40),"",INDEX(H:H,SMALL(I$1:I$40,1+ROW(G12)-ROW(G$4))))</f>
        <v/>
      </c>
      <c r="H12">
        <v>12</v>
      </c>
      <c r="I12" s="1" t="str">
        <f t="shared" si="0"/>
        <v/>
      </c>
      <c r="J12" s="1" t="str" cm="1">
        <f t="array" ref="J12">IF(ROW(G15)-ROW(G$4)+1&gt;COUNT(I$1:I$40),"",INDEX(H:H,SMALL(I$1:I$40,1+ROW(G15)-ROW(G$4))))</f>
        <v/>
      </c>
      <c r="P12" t="str">
        <f ca="1">IF(Summary!K13="","",IF(F12=Summary!K13,"Right","Wrong"))</f>
        <v>Right</v>
      </c>
    </row>
    <row r="13" spans="1:19" ht="18" customHeight="1" x14ac:dyDescent="0.4">
      <c r="A13" s="4">
        <v>43822</v>
      </c>
      <c r="B13" s="5" t="s">
        <v>35</v>
      </c>
      <c r="C13" s="12" t="s">
        <v>36</v>
      </c>
      <c r="D13" s="13" t="s">
        <v>37</v>
      </c>
      <c r="E13" s="8" t="s">
        <v>36</v>
      </c>
      <c r="F13" s="9">
        <v>32</v>
      </c>
      <c r="G13" s="10" t="str" cm="1">
        <f t="array" ref="G13">IF(ROW(G13)-ROW(G$4)+1&gt;COUNT(I$1:I$40),"",INDEX(H:H,SMALL(I$1:I$40,1+ROW(G13)-ROW(G$4))))</f>
        <v/>
      </c>
      <c r="H13">
        <v>13</v>
      </c>
      <c r="I13" s="1" t="str">
        <f t="shared" si="0"/>
        <v/>
      </c>
      <c r="J13" s="1" t="str" cm="1">
        <f t="array" ref="J13">IF(ROW(G16)-ROW(G$4)+1&gt;COUNT(I$1:I$40),"",INDEX(H:H,SMALL(I$1:I$40,1+ROW(G16)-ROW(G$4))))</f>
        <v/>
      </c>
      <c r="P13" t="str">
        <f ca="1">IF(Summary!K14="","",IF(F13=Summary!K14,"Right","Wrong"))</f>
        <v>Right</v>
      </c>
    </row>
    <row r="14" spans="1:19" ht="18" customHeight="1" x14ac:dyDescent="0.4">
      <c r="A14" s="4">
        <v>43823</v>
      </c>
      <c r="B14" s="5" t="s">
        <v>38</v>
      </c>
      <c r="C14" s="12" t="s">
        <v>39</v>
      </c>
      <c r="D14" s="13" t="s">
        <v>40</v>
      </c>
      <c r="E14" s="8" t="s">
        <v>39</v>
      </c>
      <c r="F14" s="9">
        <v>6</v>
      </c>
      <c r="G14" s="10" t="str" cm="1">
        <f t="array" ref="G14">IF(ROW(G14)-ROW(G$4)+1&gt;COUNT(I$1:I$40),"",INDEX(H:H,SMALL(I$1:I$40,1+ROW(G14)-ROW(G$4))))</f>
        <v/>
      </c>
      <c r="H14">
        <v>14</v>
      </c>
      <c r="I14" s="1" t="str">
        <f t="shared" si="0"/>
        <v/>
      </c>
      <c r="J14" s="1" t="str" cm="1">
        <f t="array" ref="J14">IF(ROW(G17)-ROW(G$4)+1&gt;COUNT(I$1:I$40),"",INDEX(H:H,SMALL(I$1:I$40,1+ROW(G17)-ROW(G$4))))</f>
        <v/>
      </c>
      <c r="P14" t="str">
        <f ca="1">IF(Summary!K15="","",IF(F14=Summary!K15,"Right","Wrong"))</f>
        <v>Right</v>
      </c>
    </row>
    <row r="15" spans="1:19" ht="18" customHeight="1" x14ac:dyDescent="0.4">
      <c r="A15" s="4">
        <v>43825</v>
      </c>
      <c r="B15" s="5" t="s">
        <v>41</v>
      </c>
      <c r="C15" s="12" t="s">
        <v>42</v>
      </c>
      <c r="D15" s="13" t="s">
        <v>43</v>
      </c>
      <c r="E15" s="8" t="s">
        <v>42</v>
      </c>
      <c r="F15" s="9">
        <v>9</v>
      </c>
      <c r="G15" s="10" t="str" cm="1">
        <f t="array" ref="G15">IF(ROW(G15)-ROW(G$4)+1&gt;COUNT(I$1:I$40),"",INDEX(H:H,SMALL(I$1:I$40,1+ROW(G15)-ROW(G$4))))</f>
        <v/>
      </c>
      <c r="H15">
        <v>15</v>
      </c>
      <c r="I15" s="1" t="str">
        <f t="shared" si="0"/>
        <v/>
      </c>
      <c r="J15" s="1" t="str" cm="1">
        <f t="array" ref="J15">IF(ROW(G18)-ROW(G$4)+1&gt;COUNT(I$1:I$40),"",INDEX(H:H,SMALL(I$1:I$40,1+ROW(G18)-ROW(G$4))))</f>
        <v/>
      </c>
      <c r="P15" t="str">
        <f ca="1">IF(Summary!K16="","",IF(F15=Summary!K16,"Right","Wrong"))</f>
        <v>Wrong</v>
      </c>
    </row>
    <row r="16" spans="1:19" ht="18" customHeight="1" x14ac:dyDescent="0.4">
      <c r="A16" s="4">
        <v>43825</v>
      </c>
      <c r="B16" s="5" t="s">
        <v>44</v>
      </c>
      <c r="C16" s="12" t="s">
        <v>45</v>
      </c>
      <c r="D16" s="13" t="s">
        <v>46</v>
      </c>
      <c r="E16" s="8" t="s">
        <v>45</v>
      </c>
      <c r="F16" s="9">
        <v>15</v>
      </c>
      <c r="G16" s="10" t="str" cm="1">
        <f t="array" ref="G16">IF(ROW(G16)-ROW(G$4)+1&gt;COUNT(I$1:I$40),"",INDEX(H:H,SMALL(I$1:I$40,1+ROW(G16)-ROW(G$4))))</f>
        <v/>
      </c>
      <c r="H16">
        <v>16</v>
      </c>
      <c r="I16" s="1" t="str">
        <f t="shared" si="0"/>
        <v/>
      </c>
      <c r="J16" s="1" t="str" cm="1">
        <f t="array" ref="J16">IF(ROW(G19)-ROW(G$4)+1&gt;COUNT(I$1:I$40),"",INDEX(H:H,SMALL(I$1:I$40,1+ROW(G19)-ROW(G$4))))</f>
        <v/>
      </c>
      <c r="P16" t="str">
        <f ca="1">IF(Summary!K17="","",IF(F16=Summary!K17,"Right","Wrong"))</f>
        <v>Right</v>
      </c>
    </row>
    <row r="17" spans="1:16" ht="18" customHeight="1" x14ac:dyDescent="0.4">
      <c r="A17" s="4">
        <v>43826</v>
      </c>
      <c r="B17" s="5" t="s">
        <v>47</v>
      </c>
      <c r="C17" s="12" t="s">
        <v>48</v>
      </c>
      <c r="D17" s="13" t="s">
        <v>49</v>
      </c>
      <c r="E17" s="8" t="s">
        <v>48</v>
      </c>
      <c r="F17" s="9">
        <v>4</v>
      </c>
      <c r="G17" s="10" t="str" cm="1">
        <f t="array" ref="G17">IF(ROW(G17)-ROW(G$4)+1&gt;COUNT(I$1:I$40),"",INDEX(H:H,SMALL(I$1:I$40,1+ROW(G17)-ROW(G$4))))</f>
        <v/>
      </c>
      <c r="H17">
        <v>17</v>
      </c>
      <c r="I17" s="1" t="str">
        <f t="shared" si="0"/>
        <v/>
      </c>
      <c r="J17" s="1" t="str" cm="1">
        <f t="array" ref="J17">IF(ROW(G20)-ROW(G$4)+1&gt;COUNT(I$1:I$40),"",INDEX(H:H,SMALL(I$1:I$40,1+ROW(G20)-ROW(G$4))))</f>
        <v/>
      </c>
      <c r="P17" t="str">
        <f ca="1">IF(Summary!K18="","",IF(F17=Summary!K18,"Right","Wrong"))</f>
        <v>Right</v>
      </c>
    </row>
    <row r="18" spans="1:16" ht="18" customHeight="1" x14ac:dyDescent="0.4">
      <c r="A18" s="4">
        <v>43826</v>
      </c>
      <c r="B18" s="5" t="s">
        <v>50</v>
      </c>
      <c r="C18" s="12" t="s">
        <v>51</v>
      </c>
      <c r="D18" s="13" t="s">
        <v>52</v>
      </c>
      <c r="E18" s="8" t="s">
        <v>52</v>
      </c>
      <c r="F18" s="9">
        <v>1</v>
      </c>
      <c r="G18" s="10" t="str" cm="1">
        <f t="array" ref="G18">IF(ROW(G18)-ROW(G$4)+1&gt;COUNT(I$1:I$40),"",INDEX(H:H,SMALL(I$1:I$40,1+ROW(G18)-ROW(G$4))))</f>
        <v/>
      </c>
      <c r="H18">
        <v>18</v>
      </c>
      <c r="I18" s="1" t="str">
        <f t="shared" si="0"/>
        <v/>
      </c>
      <c r="J18" s="1" t="str" cm="1">
        <f t="array" ref="J18">IF(ROW(G21)-ROW(G$4)+1&gt;COUNT(I$1:I$40),"",INDEX(H:H,SMALL(I$1:I$40,1+ROW(G21)-ROW(G$4))))</f>
        <v/>
      </c>
      <c r="P18" t="str">
        <f ca="1">IF(Summary!K19="","",IF(F18=Summary!K19,"Right","Wrong"))</f>
        <v>Right</v>
      </c>
    </row>
    <row r="19" spans="1:16" ht="18" customHeight="1" x14ac:dyDescent="0.4">
      <c r="A19" s="4">
        <v>43826</v>
      </c>
      <c r="B19" s="5" t="s">
        <v>53</v>
      </c>
      <c r="C19" s="12" t="s">
        <v>54</v>
      </c>
      <c r="D19" s="13" t="s">
        <v>55</v>
      </c>
      <c r="E19" s="8" t="s">
        <v>54</v>
      </c>
      <c r="F19" s="9">
        <v>5</v>
      </c>
      <c r="G19" s="10" t="str" cm="1">
        <f t="array" ref="G19">IF(ROW(G19)-ROW(G$4)+1&gt;COUNT(I$1:I$40),"",INDEX(H:H,SMALL(I$1:I$40,1+ROW(G19)-ROW(G$4))))</f>
        <v/>
      </c>
      <c r="H19">
        <v>19</v>
      </c>
      <c r="I19" s="1" t="str">
        <f t="shared" si="0"/>
        <v/>
      </c>
      <c r="J19" s="1" t="str" cm="1">
        <f t="array" ref="J19">IF(ROW(G22)-ROW(G$4)+1&gt;COUNT(I$1:I$40),"",INDEX(H:H,SMALL(I$1:I$40,1+ROW(G22)-ROW(G$4))))</f>
        <v/>
      </c>
      <c r="P19" t="str">
        <f ca="1">IF(Summary!K20="","",IF(F19=Summary!K20,"Right","Wrong"))</f>
        <v>Wrong</v>
      </c>
    </row>
    <row r="20" spans="1:16" ht="18" customHeight="1" x14ac:dyDescent="0.4">
      <c r="A20" s="4">
        <v>43826</v>
      </c>
      <c r="B20" s="5" t="s">
        <v>56</v>
      </c>
      <c r="C20" s="12" t="s">
        <v>57</v>
      </c>
      <c r="D20" s="13" t="s">
        <v>58</v>
      </c>
      <c r="E20" s="8" t="s">
        <v>58</v>
      </c>
      <c r="F20" s="9">
        <v>13</v>
      </c>
      <c r="G20" s="10" t="str" cm="1">
        <f t="array" ref="G20">IF(ROW(G20)-ROW(G$4)+1&gt;COUNT(I$1:I$40),"",INDEX(H:H,SMALL(I$1:I$40,1+ROW(G20)-ROW(G$4))))</f>
        <v/>
      </c>
      <c r="H20">
        <v>20</v>
      </c>
      <c r="I20" s="1" t="str">
        <f t="shared" si="0"/>
        <v/>
      </c>
      <c r="J20" s="1" t="str" cm="1">
        <f t="array" ref="J20">IF(ROW(G23)-ROW(G$4)+1&gt;COUNT(I$1:I$40),"",INDEX(H:H,SMALL(I$1:I$40,1+ROW(G23)-ROW(G$4))))</f>
        <v/>
      </c>
      <c r="P20" t="str">
        <f ca="1">IF(Summary!K21="","",IF(F20=Summary!K21,"Right","Wrong"))</f>
        <v>Right</v>
      </c>
    </row>
    <row r="21" spans="1:16" ht="18" customHeight="1" x14ac:dyDescent="0.4">
      <c r="A21" s="4">
        <v>43826</v>
      </c>
      <c r="B21" s="5" t="s">
        <v>59</v>
      </c>
      <c r="C21" s="12" t="s">
        <v>60</v>
      </c>
      <c r="D21" s="13" t="s">
        <v>61</v>
      </c>
      <c r="E21" s="8" t="s">
        <v>61</v>
      </c>
      <c r="F21" s="9">
        <v>2</v>
      </c>
      <c r="G21" s="10" t="str" cm="1">
        <f t="array" ref="G21">IF(ROW(G21)-ROW(G$4)+1&gt;COUNT(I$1:I$40),"",INDEX(H:H,SMALL(I$1:I$40,1+ROW(G21)-ROW(G$4))))</f>
        <v/>
      </c>
      <c r="H21">
        <v>21</v>
      </c>
      <c r="I21" s="1" t="str">
        <f t="shared" si="0"/>
        <v/>
      </c>
      <c r="J21" s="1" t="str" cm="1">
        <f t="array" ref="J21">IF(ROW(G24)-ROW(G$4)+1&gt;COUNT(I$1:I$40),"",INDEX(H:H,SMALL(I$1:I$40,1+ROW(G24)-ROW(G$4))))</f>
        <v/>
      </c>
      <c r="P21" t="str">
        <f ca="1">IF(Summary!K22="","",IF(F21=Summary!K22,"Right","Wrong"))</f>
        <v>Wrong</v>
      </c>
    </row>
    <row r="22" spans="1:16" ht="18" customHeight="1" x14ac:dyDescent="0.4">
      <c r="A22" s="4">
        <v>43827</v>
      </c>
      <c r="B22" s="5" t="s">
        <v>62</v>
      </c>
      <c r="C22" s="12" t="s">
        <v>63</v>
      </c>
      <c r="D22" s="13" t="s">
        <v>64</v>
      </c>
      <c r="E22" s="8" t="s">
        <v>63</v>
      </c>
      <c r="F22" s="9">
        <v>34</v>
      </c>
      <c r="G22" s="10" t="str" cm="1">
        <f t="array" ref="G22">IF(ROW(G22)-ROW(G$4)+1&gt;COUNT(I$1:I$40),"",INDEX(H:H,SMALL(I$1:I$40,1+ROW(G22)-ROW(G$4))))</f>
        <v/>
      </c>
      <c r="H22">
        <v>22</v>
      </c>
      <c r="I22" s="1" t="str">
        <f t="shared" si="0"/>
        <v/>
      </c>
      <c r="J22" s="1" t="str" cm="1">
        <f t="array" ref="J22">IF(ROW(G25)-ROW(G$4)+1&gt;COUNT(I$1:I$40),"",INDEX(H:H,SMALL(I$1:I$40,1+ROW(G25)-ROW(G$4))))</f>
        <v/>
      </c>
      <c r="P22" t="str">
        <f ca="1">IF(Summary!K23="","",IF(F22=Summary!K23,"Right","Wrong"))</f>
        <v>Right</v>
      </c>
    </row>
    <row r="23" spans="1:16" ht="18" customHeight="1" x14ac:dyDescent="0.4">
      <c r="A23" s="4">
        <v>43827</v>
      </c>
      <c r="B23" s="5" t="s">
        <v>65</v>
      </c>
      <c r="C23" s="12" t="s">
        <v>66</v>
      </c>
      <c r="D23" s="13" t="s">
        <v>67</v>
      </c>
      <c r="E23" s="8" t="s">
        <v>66</v>
      </c>
      <c r="F23" s="9">
        <v>38</v>
      </c>
      <c r="G23" s="10" t="str" cm="1">
        <f t="array" ref="G23">IF(ROW(G23)-ROW(G$4)+1&gt;COUNT(I$1:I$40),"",INDEX(H:H,SMALL(I$1:I$40,1+ROW(G23)-ROW(G$4))))</f>
        <v/>
      </c>
      <c r="H23">
        <v>23</v>
      </c>
      <c r="I23" s="1" t="str">
        <f t="shared" si="0"/>
        <v/>
      </c>
      <c r="J23" s="1" t="str" cm="1">
        <f t="array" ref="J23">IF(ROW(G26)-ROW(G$4)+1&gt;COUNT(I$1:I$40),"",INDEX(H:H,SMALL(I$1:I$40,1+ROW(G26)-ROW(G$4))))</f>
        <v/>
      </c>
      <c r="P23" t="str">
        <f ca="1">IF(Summary!K24="","",IF(F23=Summary!K24,"Right","Wrong"))</f>
        <v>Right</v>
      </c>
    </row>
    <row r="24" spans="1:16" ht="18" customHeight="1" x14ac:dyDescent="0.4">
      <c r="A24" s="4">
        <v>43827</v>
      </c>
      <c r="B24" s="5" t="s">
        <v>68</v>
      </c>
      <c r="C24" s="12" t="s">
        <v>69</v>
      </c>
      <c r="D24" s="13" t="s">
        <v>70</v>
      </c>
      <c r="E24" s="8" t="s">
        <v>69</v>
      </c>
      <c r="F24" s="9">
        <v>40</v>
      </c>
      <c r="G24" s="10" t="str" cm="1">
        <f t="array" ref="G24">IF(ROW(G24)-ROW(G$4)+1&gt;COUNT(I$1:I$40),"",INDEX(H:H,SMALL(I$1:I$40,1+ROW(G24)-ROW(G$4))))</f>
        <v/>
      </c>
      <c r="H24">
        <v>24</v>
      </c>
      <c r="I24" s="1" t="str">
        <f t="shared" si="0"/>
        <v/>
      </c>
      <c r="J24" s="1" t="str" cm="1">
        <f t="array" ref="J24">IF(ROW(G27)-ROW(G$4)+1&gt;COUNT(I$1:I$40),"",INDEX(H:H,SMALL(I$1:I$40,1+ROW(G27)-ROW(G$4))))</f>
        <v/>
      </c>
      <c r="P24" t="str">
        <f ca="1">IF(Summary!K25="","",IF(F24=Summary!K25,"Right","Wrong"))</f>
        <v>Right</v>
      </c>
    </row>
    <row r="25" spans="1:16" ht="18" customHeight="1" x14ac:dyDescent="0.4">
      <c r="A25" s="4">
        <v>43827</v>
      </c>
      <c r="B25" s="5" t="s">
        <v>71</v>
      </c>
      <c r="C25" s="12" t="s">
        <v>72</v>
      </c>
      <c r="D25" s="13" t="s">
        <v>73</v>
      </c>
      <c r="E25" s="8" t="s">
        <v>72</v>
      </c>
      <c r="F25" s="9">
        <v>18</v>
      </c>
      <c r="G25" s="10" t="str" cm="1">
        <f t="array" ref="G25">IF(ROW(G25)-ROW(G$4)+1&gt;COUNT(I$1:I$40),"",INDEX(H:H,SMALL(I$1:I$40,1+ROW(G25)-ROW(G$4))))</f>
        <v/>
      </c>
      <c r="H25">
        <v>25</v>
      </c>
      <c r="I25" s="1" t="str">
        <f t="shared" si="0"/>
        <v/>
      </c>
      <c r="J25" s="1" t="str" cm="1">
        <f t="array" ref="J25">IF(ROW(G28)-ROW(G$4)+1&gt;COUNT(I$1:I$40),"",INDEX(H:H,SMALL(I$1:I$40,1+ROW(G28)-ROW(G$4))))</f>
        <v/>
      </c>
      <c r="P25" t="str">
        <f ca="1">IF(Summary!K26="","",IF(F25=Summary!K26,"Right","Wrong"))</f>
        <v>Wrong</v>
      </c>
    </row>
    <row r="26" spans="1:16" ht="18" customHeight="1" x14ac:dyDescent="0.4">
      <c r="A26" s="4">
        <v>43829</v>
      </c>
      <c r="B26" s="5" t="s">
        <v>74</v>
      </c>
      <c r="C26" s="12" t="s">
        <v>75</v>
      </c>
      <c r="D26" s="13" t="s">
        <v>76</v>
      </c>
      <c r="E26" s="8" t="s">
        <v>75</v>
      </c>
      <c r="F26" s="9">
        <v>14</v>
      </c>
      <c r="G26" s="10" t="str" cm="1">
        <f t="array" ref="G26">IF(ROW(G26)-ROW(G$4)+1&gt;COUNT(I$1:I$40),"",INDEX(H:H,SMALL(I$1:I$40,1+ROW(G26)-ROW(G$4))))</f>
        <v/>
      </c>
      <c r="H26">
        <v>26</v>
      </c>
      <c r="I26" s="1" t="str">
        <f t="shared" si="0"/>
        <v/>
      </c>
      <c r="J26" s="1" t="str" cm="1">
        <f t="array" ref="J26">IF(ROW(G29)-ROW(G$4)+1&gt;COUNT(I$1:I$40),"",INDEX(H:H,SMALL(I$1:I$40,1+ROW(G29)-ROW(G$4))))</f>
        <v/>
      </c>
      <c r="P26" t="str">
        <f ca="1">IF(Summary!K27="","",IF(F26=Summary!K27,"Right","Wrong"))</f>
        <v>Right</v>
      </c>
    </row>
    <row r="27" spans="1:16" ht="18" customHeight="1" x14ac:dyDescent="0.4">
      <c r="A27" s="4">
        <v>43829</v>
      </c>
      <c r="B27" s="5" t="s">
        <v>77</v>
      </c>
      <c r="C27" s="12" t="s">
        <v>78</v>
      </c>
      <c r="D27" s="13" t="s">
        <v>148</v>
      </c>
      <c r="E27" s="8" t="s">
        <v>78</v>
      </c>
      <c r="F27" s="9">
        <v>16</v>
      </c>
      <c r="G27" s="10" t="str" cm="1">
        <f t="array" ref="G27">IF(ROW(G27)-ROW(G$4)+1&gt;COUNT(I$1:I$40),"",INDEX(H:H,SMALL(I$1:I$40,1+ROW(G27)-ROW(G$4))))</f>
        <v/>
      </c>
      <c r="H27">
        <v>27</v>
      </c>
      <c r="I27" s="1" t="str">
        <f t="shared" si="0"/>
        <v/>
      </c>
      <c r="J27" s="1" t="str" cm="1">
        <f t="array" ref="J27">IF(ROW(G30)-ROW(G$4)+1&gt;COUNT(I$1:I$40),"",INDEX(H:H,SMALL(I$1:I$40,1+ROW(G30)-ROW(G$4))))</f>
        <v/>
      </c>
      <c r="P27" t="str">
        <f ca="1">IF(Summary!K28="","",IF(F27=Summary!K28,"Right","Wrong"))</f>
        <v>Wrong</v>
      </c>
    </row>
    <row r="28" spans="1:16" ht="18" customHeight="1" x14ac:dyDescent="0.4">
      <c r="A28" s="4">
        <v>43829</v>
      </c>
      <c r="B28" s="5" t="s">
        <v>80</v>
      </c>
      <c r="C28" s="12" t="s">
        <v>81</v>
      </c>
      <c r="D28" s="13" t="s">
        <v>82</v>
      </c>
      <c r="E28" s="8" t="s">
        <v>82</v>
      </c>
      <c r="F28" s="9">
        <v>3</v>
      </c>
      <c r="G28" s="10" t="str" cm="1">
        <f t="array" ref="G28">IF(ROW(G28)-ROW(G$4)+1&gt;COUNT(I$1:I$40),"",INDEX(H:H,SMALL(I$1:I$40,1+ROW(G28)-ROW(G$4))))</f>
        <v/>
      </c>
      <c r="H28">
        <v>28</v>
      </c>
      <c r="I28" s="1" t="str">
        <f t="shared" si="0"/>
        <v/>
      </c>
      <c r="J28" s="1" t="str" cm="1">
        <f t="array" ref="J28">IF(ROW(G31)-ROW(G$4)+1&gt;COUNT(I$1:I$40),"",INDEX(H:H,SMALL(I$1:I$40,1+ROW(G31)-ROW(G$4))))</f>
        <v/>
      </c>
      <c r="P28" t="str">
        <f ca="1">IF(Summary!K29="","",IF(F28=Summary!K29,"Right","Wrong"))</f>
        <v>Right</v>
      </c>
    </row>
    <row r="29" spans="1:16" ht="18" customHeight="1" x14ac:dyDescent="0.4">
      <c r="A29" s="4">
        <v>43829</v>
      </c>
      <c r="B29" s="5" t="s">
        <v>83</v>
      </c>
      <c r="C29" s="12" t="s">
        <v>84</v>
      </c>
      <c r="D29" s="13" t="s">
        <v>85</v>
      </c>
      <c r="E29" s="8" t="s">
        <v>84</v>
      </c>
      <c r="F29" s="9">
        <v>37</v>
      </c>
      <c r="G29" s="10" t="str" cm="1">
        <f t="array" ref="G29">IF(ROW(G29)-ROW(G$4)+1&gt;COUNT(I$1:I$40),"",INDEX(H:H,SMALL(I$1:I$40,1+ROW(G29)-ROW(G$4))))</f>
        <v/>
      </c>
      <c r="H29">
        <v>29</v>
      </c>
      <c r="I29" s="1" t="str">
        <f t="shared" si="0"/>
        <v/>
      </c>
      <c r="J29" s="1" t="str" cm="1">
        <f t="array" ref="J29">IF(ROW(G32)-ROW(G$4)+1&gt;COUNT(I$1:I$40),"",INDEX(H:H,SMALL(I$1:I$40,1+ROW(G32)-ROW(G$4))))</f>
        <v/>
      </c>
      <c r="P29" t="str">
        <f ca="1">IF(Summary!K30="","",IF(F29=Summary!K30,"Right","Wrong"))</f>
        <v>Right</v>
      </c>
    </row>
    <row r="30" spans="1:16" ht="18" customHeight="1" x14ac:dyDescent="0.4">
      <c r="A30" s="4">
        <v>43830</v>
      </c>
      <c r="B30" s="5" t="s">
        <v>86</v>
      </c>
      <c r="C30" s="12" t="s">
        <v>87</v>
      </c>
      <c r="D30" s="13" t="s">
        <v>88</v>
      </c>
      <c r="E30" s="8" t="s">
        <v>87</v>
      </c>
      <c r="F30" s="9">
        <v>21</v>
      </c>
      <c r="G30" s="10" t="str" cm="1">
        <f t="array" ref="G30">IF(ROW(G30)-ROW(G$4)+1&gt;COUNT(I$1:I$40),"",INDEX(H:H,SMALL(I$1:I$40,1+ROW(G30)-ROW(G$4))))</f>
        <v/>
      </c>
      <c r="H30">
        <v>30</v>
      </c>
      <c r="I30" s="1" t="str">
        <f t="shared" si="0"/>
        <v/>
      </c>
      <c r="J30" s="1" t="str" cm="1">
        <f t="array" ref="J30">IF(ROW(G33)-ROW(G$4)+1&gt;COUNT(I$1:I$40),"",INDEX(H:H,SMALL(I$1:I$40,1+ROW(G33)-ROW(G$4))))</f>
        <v/>
      </c>
      <c r="P30" t="str">
        <f ca="1">IF(Summary!K31="","",IF(F30=Summary!K31,"Right","Wrong"))</f>
        <v>Right</v>
      </c>
    </row>
    <row r="31" spans="1:16" ht="18" customHeight="1" x14ac:dyDescent="0.4">
      <c r="A31" s="4">
        <v>43830</v>
      </c>
      <c r="B31" s="5" t="s">
        <v>89</v>
      </c>
      <c r="C31" s="12" t="s">
        <v>90</v>
      </c>
      <c r="D31" s="13" t="s">
        <v>91</v>
      </c>
      <c r="E31" s="8" t="s">
        <v>91</v>
      </c>
      <c r="F31" s="9">
        <v>17</v>
      </c>
      <c r="G31" s="10" t="str" cm="1">
        <f t="array" ref="G31">IF(ROW(G31)-ROW(G$4)+1&gt;COUNT(I$1:I$40),"",INDEX(H:H,SMALL(I$1:I$40,1+ROW(G31)-ROW(G$4))))</f>
        <v/>
      </c>
      <c r="H31">
        <v>31</v>
      </c>
      <c r="I31" s="1" t="str">
        <f t="shared" si="0"/>
        <v/>
      </c>
      <c r="J31" s="1" t="str" cm="1">
        <f t="array" ref="J31">IF(ROW(G34)-ROW(G$4)+1&gt;COUNT(I$1:I$40),"",INDEX(H:H,SMALL(I$1:I$40,1+ROW(G34)-ROW(G$4))))</f>
        <v/>
      </c>
      <c r="P31" t="str">
        <f ca="1">IF(Summary!K32="","",IF(F31=Summary!K32,"Right","Wrong"))</f>
        <v>Right</v>
      </c>
    </row>
    <row r="32" spans="1:16" ht="18" customHeight="1" x14ac:dyDescent="0.4">
      <c r="A32" s="4">
        <v>43830</v>
      </c>
      <c r="B32" s="5" t="s">
        <v>92</v>
      </c>
      <c r="C32" s="12" t="s">
        <v>93</v>
      </c>
      <c r="D32" s="13" t="s">
        <v>94</v>
      </c>
      <c r="E32" s="8" t="s">
        <v>93</v>
      </c>
      <c r="F32" s="9">
        <v>23</v>
      </c>
      <c r="G32" s="10" t="str" cm="1">
        <f t="array" ref="G32">IF(ROW(G32)-ROW(G$4)+1&gt;COUNT(I$1:I$40),"",INDEX(H:H,SMALL(I$1:I$40,1+ROW(G32)-ROW(G$4))))</f>
        <v/>
      </c>
      <c r="H32">
        <v>32</v>
      </c>
      <c r="I32" s="1" t="str">
        <f t="shared" si="0"/>
        <v/>
      </c>
      <c r="J32" s="1" t="str" cm="1">
        <f t="array" ref="J32">IF(ROW(G35)-ROW(G$4)+1&gt;COUNT(I$1:I$40),"",INDEX(H:H,SMALL(I$1:I$40,1+ROW(G35)-ROW(G$4))))</f>
        <v/>
      </c>
      <c r="P32" t="str">
        <f ca="1">IF(Summary!K33="","",IF(F32=Summary!K33,"Right","Wrong"))</f>
        <v>Right</v>
      </c>
    </row>
    <row r="33" spans="1:16" ht="18" customHeight="1" x14ac:dyDescent="0.4">
      <c r="A33" s="4">
        <v>43830</v>
      </c>
      <c r="B33" s="5" t="s">
        <v>95</v>
      </c>
      <c r="C33" s="12" t="s">
        <v>96</v>
      </c>
      <c r="D33" s="13" t="s">
        <v>97</v>
      </c>
      <c r="E33" s="8" t="s">
        <v>97</v>
      </c>
      <c r="F33" s="9">
        <v>27</v>
      </c>
      <c r="G33" s="10" t="str" cm="1">
        <f t="array" ref="G33">IF(ROW(G33)-ROW(G$4)+1&gt;COUNT(I$1:I$40),"",INDEX(H:H,SMALL(I$1:I$40,1+ROW(G33)-ROW(G$4))))</f>
        <v/>
      </c>
      <c r="H33">
        <v>33</v>
      </c>
      <c r="I33" s="1" t="str">
        <f t="shared" si="0"/>
        <v/>
      </c>
      <c r="J33" s="1" t="str" cm="1">
        <f t="array" ref="J33">IF(ROW(G36)-ROW(G$4)+1&gt;COUNT(I$1:I$40),"",INDEX(H:H,SMALL(I$1:I$40,1+ROW(G36)-ROW(G$4))))</f>
        <v/>
      </c>
      <c r="P33" t="str">
        <f ca="1">IF(Summary!K34="","",IF(F33=Summary!K34,"Right","Wrong"))</f>
        <v>Right</v>
      </c>
    </row>
    <row r="34" spans="1:16" ht="18" customHeight="1" x14ac:dyDescent="0.4">
      <c r="A34" s="4">
        <v>43830</v>
      </c>
      <c r="B34" s="5" t="s">
        <v>98</v>
      </c>
      <c r="C34" s="12" t="s">
        <v>99</v>
      </c>
      <c r="D34" s="13" t="s">
        <v>100</v>
      </c>
      <c r="E34" s="8" t="s">
        <v>99</v>
      </c>
      <c r="F34" s="9">
        <v>29</v>
      </c>
      <c r="G34" s="10" t="str" cm="1">
        <f t="array" ref="G34">IF(ROW(G34)-ROW(G$4)+1&gt;COUNT(I$1:I$40),"",INDEX(H:H,SMALL(I$1:I$40,1+ROW(G34)-ROW(G$4))))</f>
        <v/>
      </c>
      <c r="H34">
        <v>34</v>
      </c>
      <c r="I34" s="1" t="str">
        <f t="shared" si="0"/>
        <v/>
      </c>
      <c r="J34" s="1" t="str" cm="1">
        <f t="array" ref="J34">IF(ROW(G37)-ROW(G$4)+1&gt;COUNT(I$1:I$40),"",INDEX(H:H,SMALL(I$1:I$40,1+ROW(G37)-ROW(G$4))))</f>
        <v/>
      </c>
      <c r="P34" t="str">
        <f ca="1">IF(Summary!K35="","",IF(F34=Summary!K35,"Right","Wrong"))</f>
        <v>Wrong</v>
      </c>
    </row>
    <row r="35" spans="1:16" ht="18" customHeight="1" x14ac:dyDescent="0.4">
      <c r="A35" s="4">
        <v>43466</v>
      </c>
      <c r="B35" s="5" t="s">
        <v>101</v>
      </c>
      <c r="C35" s="12" t="s">
        <v>102</v>
      </c>
      <c r="D35" s="13" t="s">
        <v>103</v>
      </c>
      <c r="E35" s="8" t="s">
        <v>102</v>
      </c>
      <c r="F35" s="9">
        <v>30</v>
      </c>
      <c r="G35" s="10" t="str" cm="1">
        <f t="array" ref="G35">IF(ROW(G35)-ROW(G$4)+1&gt;COUNT(I$1:I$40),"",INDEX(H:H,SMALL(I$1:I$40,1+ROW(G35)-ROW(G$4))))</f>
        <v/>
      </c>
      <c r="H35">
        <v>35</v>
      </c>
      <c r="I35" s="1" t="str">
        <f t="shared" si="0"/>
        <v/>
      </c>
      <c r="J35" s="1" t="str" cm="1">
        <f t="array" ref="J35">IF(ROW(G38)-ROW(G$4)+1&gt;COUNT(I$1:I$40),"",INDEX(H:H,SMALL(I$1:I$40,1+ROW(G38)-ROW(G$4))))</f>
        <v/>
      </c>
      <c r="P35" t="str">
        <f ca="1">IF(Summary!K36="","",IF(F35=Summary!K36,"Right","Wrong"))</f>
        <v>Right</v>
      </c>
    </row>
    <row r="36" spans="1:16" ht="18" customHeight="1" x14ac:dyDescent="0.4">
      <c r="A36" s="4">
        <v>43466</v>
      </c>
      <c r="B36" s="5" t="s">
        <v>104</v>
      </c>
      <c r="C36" s="12" t="s">
        <v>105</v>
      </c>
      <c r="D36" s="13" t="s">
        <v>106</v>
      </c>
      <c r="E36" s="8" t="s">
        <v>105</v>
      </c>
      <c r="F36" s="9">
        <v>39</v>
      </c>
      <c r="G36" s="10" t="str" cm="1">
        <f t="array" ref="G36">IF(ROW(G36)-ROW(G$4)+1&gt;COUNT(I$1:I$40),"",INDEX(H:H,SMALL(I$1:I$40,1+ROW(G36)-ROW(G$4))))</f>
        <v/>
      </c>
      <c r="H36">
        <v>36</v>
      </c>
      <c r="I36" s="1" t="str">
        <f t="shared" si="0"/>
        <v/>
      </c>
      <c r="J36" s="1" t="str" cm="1">
        <f t="array" ref="J36">IF(ROW(G39)-ROW(G$4)+1&gt;COUNT(I$1:I$40),"",INDEX(H:H,SMALL(I$1:I$40,1+ROW(G39)-ROW(G$4))))</f>
        <v/>
      </c>
      <c r="P36" t="str">
        <f ca="1">IF(Summary!K37="","",IF(F36=Summary!K37,"Right","Wrong"))</f>
        <v>Wrong</v>
      </c>
    </row>
    <row r="37" spans="1:16" ht="18" customHeight="1" x14ac:dyDescent="0.4">
      <c r="A37" s="4">
        <v>43466</v>
      </c>
      <c r="B37" s="5" t="s">
        <v>107</v>
      </c>
      <c r="C37" s="12" t="s">
        <v>108</v>
      </c>
      <c r="D37" s="13" t="s">
        <v>109</v>
      </c>
      <c r="E37" s="8" t="s">
        <v>109</v>
      </c>
      <c r="F37" s="9">
        <v>33</v>
      </c>
      <c r="G37" s="10" t="str" cm="1">
        <f t="array" ref="G37">IF(ROW(G37)-ROW(G$4)+1&gt;COUNT(I$1:I$40),"",INDEX(H:H,SMALL(I$1:I$40,1+ROW(G37)-ROW(G$4))))</f>
        <v/>
      </c>
      <c r="H37">
        <v>37</v>
      </c>
      <c r="I37" s="1" t="str">
        <f t="shared" si="0"/>
        <v/>
      </c>
      <c r="J37" s="1" t="str" cm="1">
        <f t="array" ref="J37">IF(ROW(G40)-ROW(G$4)+1&gt;COUNT(I$1:I$40),"",INDEX(H:H,SMALL(I$1:I$40,1+ROW(G40)-ROW(G$4))))</f>
        <v/>
      </c>
      <c r="P37" t="str">
        <f ca="1">IF(Summary!K38="","",IF(F37=Summary!K38,"Right","Wrong"))</f>
        <v>Wrong</v>
      </c>
    </row>
    <row r="38" spans="1:16" ht="18" customHeight="1" x14ac:dyDescent="0.4">
      <c r="A38" s="4">
        <v>43466</v>
      </c>
      <c r="B38" s="5" t="s">
        <v>110</v>
      </c>
      <c r="C38" s="12" t="s">
        <v>111</v>
      </c>
      <c r="D38" s="13" t="s">
        <v>112</v>
      </c>
      <c r="E38" s="8" t="s">
        <v>111</v>
      </c>
      <c r="F38" s="9">
        <v>36</v>
      </c>
      <c r="G38" s="10" t="str" cm="1">
        <f t="array" ref="G38">IF(ROW(G38)-ROW(G$4)+1&gt;COUNT(I$1:I$40),"",INDEX(H:H,SMALL(I$1:I$40,1+ROW(G38)-ROW(G$4))))</f>
        <v/>
      </c>
      <c r="H38">
        <v>38</v>
      </c>
      <c r="I38" s="1" t="str">
        <f t="shared" si="0"/>
        <v/>
      </c>
      <c r="J38" s="1" t="str" cm="1">
        <f t="array" ref="J38">IF(ROW(G41)-ROW(G$4)+1&gt;COUNT(I$1:I$40),"",INDEX(H:H,SMALL(I$1:I$40,1+ROW(G41)-ROW(G$4))))</f>
        <v/>
      </c>
      <c r="P38" t="str">
        <f ca="1">IF(Summary!K39="","",IF(F38=Summary!K39,"Right","Wrong"))</f>
        <v>Right</v>
      </c>
    </row>
    <row r="39" spans="1:16" ht="18" customHeight="1" x14ac:dyDescent="0.4">
      <c r="A39" s="4">
        <v>43467</v>
      </c>
      <c r="B39" s="5" t="s">
        <v>113</v>
      </c>
      <c r="C39" s="12" t="s">
        <v>114</v>
      </c>
      <c r="D39" s="13" t="s">
        <v>115</v>
      </c>
      <c r="E39" s="8" t="s">
        <v>115</v>
      </c>
      <c r="F39" s="9">
        <v>25</v>
      </c>
      <c r="G39" s="10" t="str" cm="1">
        <f t="array" ref="G39">IF(ROW(G39)-ROW(G$4)+1&gt;COUNT(I$1:I$40),"",INDEX(H:H,SMALL(I$1:I$40,1+ROW(G39)-ROW(G$4))))</f>
        <v/>
      </c>
      <c r="H39">
        <v>39</v>
      </c>
      <c r="I39" s="1" t="str">
        <f t="shared" si="0"/>
        <v/>
      </c>
      <c r="J39" s="1" t="str" cm="1">
        <f t="array" ref="J39">IF(ROW(G42)-ROW(G$4)+1&gt;COUNT(I$1:I$40),"",INDEX(H:H,SMALL(I$1:I$40,1+ROW(G42)-ROW(G$4))))</f>
        <v/>
      </c>
      <c r="P39" t="str">
        <f ca="1">IF(Summary!K40="","",IF(F39=Summary!K40,"Right","Wrong"))</f>
        <v>Right</v>
      </c>
    </row>
    <row r="40" spans="1:16" ht="18" customHeight="1" x14ac:dyDescent="0.4">
      <c r="A40" s="4">
        <v>43467</v>
      </c>
      <c r="B40" s="5" t="s">
        <v>116</v>
      </c>
      <c r="C40" s="12" t="s">
        <v>117</v>
      </c>
      <c r="D40" s="13" t="s">
        <v>118</v>
      </c>
      <c r="E40" s="8" t="s">
        <v>118</v>
      </c>
      <c r="F40" s="9">
        <v>26</v>
      </c>
      <c r="G40" s="10" t="str" cm="1">
        <f t="array" ref="G40">IF(ROW(G40)-ROW(G$4)+1&gt;COUNT(I$1:I$40),"",INDEX(H:H,SMALL(I$1:I$40,1+ROW(G40)-ROW(G$4))))</f>
        <v/>
      </c>
      <c r="H40">
        <v>40</v>
      </c>
      <c r="I40" s="1" t="str">
        <f t="shared" si="0"/>
        <v/>
      </c>
      <c r="J40" s="1" t="str" cm="1">
        <f t="array" ref="J40">IF(ROW(G43)-ROW(G$4)+1&gt;COUNT(I$1:I$40),"",INDEX(H:H,SMALL(I$1:I$40,1+ROW(G43)-ROW(G$4))))</f>
        <v/>
      </c>
      <c r="P40" t="str">
        <f ca="1">IF(Summary!K41="","",IF(F40=Summary!K41,"Right","Wrong"))</f>
        <v>Wrong</v>
      </c>
    </row>
    <row r="41" spans="1:16" ht="18" customHeight="1" x14ac:dyDescent="0.4">
      <c r="A41" s="4">
        <v>43468</v>
      </c>
      <c r="B41" s="5" t="s">
        <v>119</v>
      </c>
      <c r="C41" s="12" t="s">
        <v>120</v>
      </c>
      <c r="D41" s="13" t="s">
        <v>121</v>
      </c>
      <c r="E41" s="8" t="s">
        <v>120</v>
      </c>
      <c r="F41" s="9">
        <v>7</v>
      </c>
      <c r="G41" s="10" t="str" cm="1">
        <f t="array" ref="G41">IF(ROW(G41)-ROW(G$4)+1&gt;COUNT(I$1:I$40),"",INDEX(H:H,SMALL(I$1:I$40,1+ROW(G41)-ROW(G$4))))</f>
        <v/>
      </c>
      <c r="I41" s="1"/>
      <c r="J41" s="1" t="str" cm="1">
        <f t="array" ref="J41">IF(ROW(G44)-ROW(G$4)+1&gt;COUNT(I$1:I$40),"",INDEX(H:H,SMALL(I$1:I$40,1+ROW(G44)-ROW(G$4))))</f>
        <v/>
      </c>
      <c r="P41" t="str">
        <f ca="1">IF(Summary!K42="","",IF(F41=Summary!K42,"Right","Wrong"))</f>
        <v>Right</v>
      </c>
    </row>
    <row r="42" spans="1:16" ht="18" customHeight="1" x14ac:dyDescent="0.4">
      <c r="A42" s="4">
        <v>43469</v>
      </c>
      <c r="B42" s="5" t="s">
        <v>122</v>
      </c>
      <c r="C42" s="12" t="s">
        <v>123</v>
      </c>
      <c r="D42" s="13" t="s">
        <v>124</v>
      </c>
      <c r="E42" s="8" t="s">
        <v>124</v>
      </c>
      <c r="F42" s="9">
        <v>8</v>
      </c>
      <c r="G42" s="10" t="str" cm="1">
        <f t="array" ref="G42">IF(ROW(G42)-ROW(G$4)+1&gt;COUNT(I$1:I$40),"",INDEX(H:H,SMALL(I$1:I$40,1+ROW(G42)-ROW(G$4))))</f>
        <v/>
      </c>
      <c r="H42" s="14"/>
      <c r="P42" t="str">
        <f ca="1">IF(Summary!K43="","",IF(F42=Summary!K43,"Right","Wrong"))</f>
        <v>Wrong</v>
      </c>
    </row>
    <row r="43" spans="1:16" ht="18" customHeight="1" thickBot="1" x14ac:dyDescent="0.45">
      <c r="A43" s="15">
        <v>43471</v>
      </c>
      <c r="B43" s="16" t="s">
        <v>125</v>
      </c>
      <c r="C43" s="17" t="s">
        <v>126</v>
      </c>
      <c r="D43" s="18" t="s">
        <v>127</v>
      </c>
      <c r="E43" s="19" t="s">
        <v>127</v>
      </c>
      <c r="F43" s="20">
        <v>11</v>
      </c>
      <c r="G43" s="21" t="str" cm="1">
        <f t="array" ref="G43">IF(ROW(G43)-ROW(G$4)+1&gt;COUNT(I$1:I$40),"",INDEX(H:H,SMALL(I$1:I$40,1+ROW(G43)-ROW(G$4))))</f>
        <v/>
      </c>
      <c r="H43" s="14"/>
      <c r="P43" t="str">
        <f ca="1">IF(Summary!K44="","",IF(F43=Summary!K44,"Right","Wrong"))</f>
        <v>Wrong</v>
      </c>
    </row>
    <row r="44" spans="1:16" ht="18" customHeight="1" x14ac:dyDescent="0.4">
      <c r="A44" s="22"/>
      <c r="B44" s="104" t="s">
        <v>128</v>
      </c>
      <c r="C44" s="104"/>
      <c r="D44" s="104"/>
      <c r="E44" s="23" t="s">
        <v>149</v>
      </c>
      <c r="F44" s="24">
        <v>76</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37" priority="4">
      <formula>LEN(TRIM(B1))=0</formula>
    </cfRule>
  </conditionalFormatting>
  <conditionalFormatting sqref="F4:F44">
    <cfRule type="duplicateValues" dxfId="36" priority="3"/>
  </conditionalFormatting>
  <conditionalFormatting sqref="P4:P43">
    <cfRule type="cellIs" dxfId="35" priority="1" operator="equal">
      <formula>"Wrong"</formula>
    </cfRule>
    <cfRule type="cellIs" dxfId="34" priority="2" operator="equal">
      <formula>"Right"</formula>
    </cfRule>
  </conditionalFormatting>
  <dataValidations count="3">
    <dataValidation type="list" allowBlank="1" showInputMessage="1" sqref="F4:F43" xr:uid="{DF13243E-F0AB-49AF-96F5-3067DC77AB33}">
      <formula1>Confidence_Count</formula1>
    </dataValidation>
    <dataValidation type="list" errorStyle="warning" allowBlank="1" showInputMessage="1" sqref="E4:E43" xr:uid="{FE05CFB4-DA44-4A19-88A9-BB522276C542}">
      <formula1>$C4:$D4</formula1>
    </dataValidation>
    <dataValidation type="list" allowBlank="1" showInputMessage="1" showErrorMessage="1" sqref="E44" xr:uid="{7E879DB2-4F92-410C-8677-299EE329DD9A}">
      <formula1>"LSU,Ohio State,Clemson,Oklahoma"</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7EA92-832A-4B4F-ABAB-34E8D5CADF9C}">
  <sheetPr codeName="Sheet14"/>
  <dimension ref="A1:S44"/>
  <sheetViews>
    <sheetView showGridLines="0" topLeftCell="A23" workbookViewId="0">
      <selection activeCell="P4" sqref="P4"/>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x14ac:dyDescent="0.35">
      <c r="A1" s="105" t="s">
        <v>0</v>
      </c>
      <c r="B1" s="105" t="s">
        <v>135</v>
      </c>
      <c r="F1" s="107" t="s">
        <v>1</v>
      </c>
      <c r="G1" s="105" t="s">
        <v>145</v>
      </c>
      <c r="H1">
        <v>1</v>
      </c>
      <c r="I1" s="1" t="str">
        <f t="shared" ref="I1:I40" si="0">IF(COUNTIF($F$4:$F$43,H1)&gt;=1,"",ROW())</f>
        <v/>
      </c>
      <c r="J1" s="1" t="str" cm="1">
        <f t="array" ref="J1">IF(ROW(G4)-ROW(G$4)+1&gt;COUNT(I$1:I$40),"",INDEX(H:H,SMALL(I$1:I$40,1+ROW(G4)-ROW(G$4))))</f>
        <v/>
      </c>
    </row>
    <row r="2" spans="1:19" ht="15"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cm="1">
        <f t="array" ref="J3">IF(ROW(G6)-ROW(G$4)+1&gt;COUNT(I$1:I$40),"",INDEX(H:H,SMALL(I$1:I$40,1+ROW(G6)-ROW(G$4))))</f>
        <v/>
      </c>
      <c r="P3" t="str">
        <f ca="1">_xlfn.CONCAT(COUNTIF(P4:P43,"Right")&amp;"/"&amp;(COUNTIF(P4:P43,"Right")+COUNTIF(P4:P43,"Wrong")))</f>
        <v>33/40</v>
      </c>
    </row>
    <row r="4" spans="1:19" ht="18" customHeight="1" thickTop="1" x14ac:dyDescent="0.4">
      <c r="A4" s="4">
        <v>43819</v>
      </c>
      <c r="B4" s="5" t="s">
        <v>8</v>
      </c>
      <c r="C4" s="6" t="s">
        <v>9</v>
      </c>
      <c r="D4" s="7" t="s">
        <v>10</v>
      </c>
      <c r="E4" s="8" t="s">
        <v>9</v>
      </c>
      <c r="F4" s="9">
        <v>31</v>
      </c>
      <c r="G4" s="10" t="str" cm="1">
        <f t="array" ref="G4">IF(ROW(G4)-ROW(G$4)+1&gt;COUNT(I$1:I$40),"",INDEX(H:H,SMALL(I$1:I$40,1+ROW(G4)-ROW(G$4))))</f>
        <v/>
      </c>
      <c r="H4">
        <v>4</v>
      </c>
      <c r="I4" s="1" t="str">
        <f t="shared" si="0"/>
        <v/>
      </c>
      <c r="J4" s="1" t="str" cm="1">
        <f t="array" ref="J4">IF(ROW(G7)-ROW(G$4)+1&gt;COUNT(I$1:I$40),"",INDEX(H:H,SMALL(I$1:I$40,1+ROW(G7)-ROW(G$4))))</f>
        <v/>
      </c>
      <c r="N4" s="11"/>
      <c r="P4" t="str">
        <f ca="1">IF(Summary!L5="","",IF(F4=Summary!L5,"Right","Wrong"))</f>
        <v>Right</v>
      </c>
    </row>
    <row r="5" spans="1:19" ht="18" customHeight="1" x14ac:dyDescent="0.4">
      <c r="A5" s="4">
        <v>43819</v>
      </c>
      <c r="B5" s="5" t="s">
        <v>11</v>
      </c>
      <c r="C5" s="12" t="s">
        <v>12</v>
      </c>
      <c r="D5" s="13" t="s">
        <v>13</v>
      </c>
      <c r="E5" s="8" t="s">
        <v>12</v>
      </c>
      <c r="F5" s="9">
        <v>26</v>
      </c>
      <c r="G5" s="10" t="str" cm="1">
        <f t="array" ref="G5">IF(ROW(G5)-ROW(G$4)+1&gt;COUNT(I$1:I$40),"",INDEX(H:H,SMALL(I$1:I$40,1+ROW(G5)-ROW(G$4))))</f>
        <v/>
      </c>
      <c r="H5">
        <v>5</v>
      </c>
      <c r="I5" s="1" t="str">
        <f t="shared" si="0"/>
        <v/>
      </c>
      <c r="J5" s="1" t="str" cm="1">
        <f t="array" ref="J5">IF(ROW(G8)-ROW(G$4)+1&gt;COUNT(I$1:I$40),"",INDEX(H:H,SMALL(I$1:I$40,1+ROW(G8)-ROW(G$4))))</f>
        <v/>
      </c>
      <c r="P5" t="str">
        <f ca="1">IF(Summary!L6="","",IF(F5=Summary!L6,"Right","Wrong"))</f>
        <v>Wrong</v>
      </c>
    </row>
    <row r="6" spans="1:19" ht="18" customHeight="1" x14ac:dyDescent="0.4">
      <c r="A6" s="4">
        <v>43820</v>
      </c>
      <c r="B6" s="5" t="s">
        <v>14</v>
      </c>
      <c r="C6" s="12" t="s">
        <v>15</v>
      </c>
      <c r="D6" s="13" t="s">
        <v>16</v>
      </c>
      <c r="E6" s="8" t="s">
        <v>16</v>
      </c>
      <c r="F6" s="9">
        <v>17</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IF(Summary!L7="","",IF(F6=Summary!L7,"Right","Wrong"))</f>
        <v>Right</v>
      </c>
    </row>
    <row r="7" spans="1:19" ht="18" customHeight="1" x14ac:dyDescent="0.4">
      <c r="A7" s="4">
        <v>43820</v>
      </c>
      <c r="B7" s="5" t="s">
        <v>17</v>
      </c>
      <c r="C7" s="12" t="s">
        <v>18</v>
      </c>
      <c r="D7" s="13" t="s">
        <v>19</v>
      </c>
      <c r="E7" s="8" t="s">
        <v>18</v>
      </c>
      <c r="F7" s="9">
        <v>19</v>
      </c>
      <c r="G7" s="10" t="str" cm="1">
        <f t="array" ref="G7">IF(ROW(G7)-ROW(G$4)+1&gt;COUNT(I$1:I$40),"",INDEX(H:H,SMALL(I$1:I$40,1+ROW(G7)-ROW(G$4))))</f>
        <v/>
      </c>
      <c r="H7">
        <v>7</v>
      </c>
      <c r="I7" s="1" t="str">
        <f t="shared" si="0"/>
        <v/>
      </c>
      <c r="J7" s="1" t="str" cm="1">
        <f t="array" ref="J7">IF(ROW(G10)-ROW(G$4)+1&gt;COUNT(I$1:I$40),"",INDEX(H:H,SMALL(I$1:I$40,1+ROW(G10)-ROW(G$4))))</f>
        <v/>
      </c>
      <c r="P7" t="str">
        <f ca="1">IF(Summary!L8="","",IF(F7=Summary!L8,"Right","Wrong"))</f>
        <v>Right</v>
      </c>
      <c r="R7" s="103"/>
      <c r="S7" s="103"/>
    </row>
    <row r="8" spans="1:19" ht="18" customHeight="1" x14ac:dyDescent="0.4">
      <c r="A8" s="4">
        <v>43820</v>
      </c>
      <c r="B8" s="5" t="s">
        <v>20</v>
      </c>
      <c r="C8" s="12" t="s">
        <v>21</v>
      </c>
      <c r="D8" s="13" t="s">
        <v>22</v>
      </c>
      <c r="E8" s="8" t="s">
        <v>21</v>
      </c>
      <c r="F8" s="9">
        <v>20</v>
      </c>
      <c r="G8" s="10" t="str" cm="1">
        <f t="array" ref="G8">IF(ROW(G8)-ROW(G$4)+1&gt;COUNT(I$1:I$40),"",INDEX(H:H,SMALL(I$1:I$40,1+ROW(G8)-ROW(G$4))))</f>
        <v/>
      </c>
      <c r="H8">
        <v>8</v>
      </c>
      <c r="I8" s="1" t="str">
        <f t="shared" si="0"/>
        <v/>
      </c>
      <c r="J8" s="1" t="str" cm="1">
        <f t="array" ref="J8">IF(ROW(G11)-ROW(G$4)+1&gt;COUNT(I$1:I$40),"",INDEX(H:H,SMALL(I$1:I$40,1+ROW(G11)-ROW(G$4))))</f>
        <v/>
      </c>
      <c r="P8" t="str">
        <f ca="1">IF(Summary!L9="","",IF(F8=Summary!L9,"Right","Wrong"))</f>
        <v>Wrong</v>
      </c>
      <c r="R8" s="103"/>
      <c r="S8" s="103"/>
    </row>
    <row r="9" spans="1:19" ht="18" customHeight="1" x14ac:dyDescent="0.4">
      <c r="A9" s="4">
        <v>43820</v>
      </c>
      <c r="B9" s="5" t="s">
        <v>23</v>
      </c>
      <c r="C9" s="12" t="s">
        <v>24</v>
      </c>
      <c r="D9" s="13" t="s">
        <v>25</v>
      </c>
      <c r="E9" s="8" t="s">
        <v>24</v>
      </c>
      <c r="F9" s="9">
        <v>22</v>
      </c>
      <c r="G9" s="10" t="str" cm="1">
        <f t="array" ref="G9">IF(ROW(G9)-ROW(G$4)+1&gt;COUNT(I$1:I$40),"",INDEX(H:H,SMALL(I$1:I$40,1+ROW(G9)-ROW(G$4))))</f>
        <v/>
      </c>
      <c r="H9">
        <v>9</v>
      </c>
      <c r="I9" s="1" t="str">
        <f t="shared" si="0"/>
        <v/>
      </c>
      <c r="J9" s="1" t="str" cm="1">
        <f t="array" ref="J9">IF(ROW(G12)-ROW(G$4)+1&gt;COUNT(I$1:I$40),"",INDEX(H:H,SMALL(I$1:I$40,1+ROW(G12)-ROW(G$4))))</f>
        <v/>
      </c>
      <c r="P9" t="str">
        <f ca="1">IF(Summary!L10="","",IF(F9=Summary!L10,"Right","Wrong"))</f>
        <v>Wrong</v>
      </c>
    </row>
    <row r="10" spans="1:19" ht="18" customHeight="1" x14ac:dyDescent="0.4">
      <c r="A10" s="4">
        <v>43820</v>
      </c>
      <c r="B10" s="5" t="s">
        <v>26</v>
      </c>
      <c r="C10" s="12" t="s">
        <v>27</v>
      </c>
      <c r="D10" s="13" t="s">
        <v>28</v>
      </c>
      <c r="E10" s="8" t="s">
        <v>28</v>
      </c>
      <c r="F10" s="9">
        <v>5</v>
      </c>
      <c r="G10" s="10" t="str" cm="1">
        <f t="array" ref="G10">IF(ROW(G10)-ROW(G$4)+1&gt;COUNT(I$1:I$40),"",INDEX(H:H,SMALL(I$1:I$40,1+ROW(G10)-ROW(G$4))))</f>
        <v/>
      </c>
      <c r="H10">
        <v>10</v>
      </c>
      <c r="I10" s="1" t="str">
        <f t="shared" si="0"/>
        <v/>
      </c>
      <c r="J10" s="1" t="str" cm="1">
        <f t="array" ref="J10">IF(ROW(G13)-ROW(G$4)+1&gt;COUNT(I$1:I$40),"",INDEX(H:H,SMALL(I$1:I$40,1+ROW(G13)-ROW(G$4))))</f>
        <v/>
      </c>
      <c r="P10" t="str">
        <f ca="1">IF(Summary!L11="","",IF(F10=Summary!L11,"Right","Wrong"))</f>
        <v>Right</v>
      </c>
    </row>
    <row r="11" spans="1:19" ht="18" customHeight="1" x14ac:dyDescent="0.4">
      <c r="A11" s="4">
        <v>43820</v>
      </c>
      <c r="B11" s="5" t="s">
        <v>29</v>
      </c>
      <c r="C11" s="12" t="s">
        <v>30</v>
      </c>
      <c r="D11" s="13" t="s">
        <v>31</v>
      </c>
      <c r="E11" s="8" t="s">
        <v>30</v>
      </c>
      <c r="F11" s="9">
        <v>4</v>
      </c>
      <c r="G11" s="10" t="str" cm="1">
        <f t="array" ref="G11">IF(ROW(G11)-ROW(G$4)+1&gt;COUNT(I$1:I$40),"",INDEX(H:H,SMALL(I$1:I$40,1+ROW(G11)-ROW(G$4))))</f>
        <v/>
      </c>
      <c r="H11">
        <v>11</v>
      </c>
      <c r="I11" s="1" t="str">
        <f t="shared" si="0"/>
        <v/>
      </c>
      <c r="J11" s="1" t="str" cm="1">
        <f t="array" ref="J11">IF(ROW(G14)-ROW(G$4)+1&gt;COUNT(I$1:I$40),"",INDEX(H:H,SMALL(I$1:I$40,1+ROW(G14)-ROW(G$4))))</f>
        <v/>
      </c>
      <c r="P11" t="str">
        <f ca="1">IF(Summary!L12="","",IF(F11=Summary!L12,"Right","Wrong"))</f>
        <v>Right</v>
      </c>
    </row>
    <row r="12" spans="1:19" ht="18" customHeight="1" x14ac:dyDescent="0.4">
      <c r="A12" s="4">
        <v>43820</v>
      </c>
      <c r="B12" s="5" t="s">
        <v>32</v>
      </c>
      <c r="C12" s="12" t="s">
        <v>33</v>
      </c>
      <c r="D12" s="13" t="s">
        <v>34</v>
      </c>
      <c r="E12" s="8" t="s">
        <v>33</v>
      </c>
      <c r="F12" s="9">
        <v>39</v>
      </c>
      <c r="G12" s="10" t="str" cm="1">
        <f t="array" ref="G12">IF(ROW(G12)-ROW(G$4)+1&gt;COUNT(I$1:I$40),"",INDEX(H:H,SMALL(I$1:I$40,1+ROW(G12)-ROW(G$4))))</f>
        <v/>
      </c>
      <c r="H12">
        <v>12</v>
      </c>
      <c r="I12" s="1" t="str">
        <f t="shared" si="0"/>
        <v/>
      </c>
      <c r="J12" s="1" t="str" cm="1">
        <f t="array" ref="J12">IF(ROW(G15)-ROW(G$4)+1&gt;COUNT(I$1:I$40),"",INDEX(H:H,SMALL(I$1:I$40,1+ROW(G15)-ROW(G$4))))</f>
        <v/>
      </c>
      <c r="P12" t="str">
        <f ca="1">IF(Summary!L13="","",IF(F12=Summary!L13,"Right","Wrong"))</f>
        <v>Right</v>
      </c>
    </row>
    <row r="13" spans="1:19" ht="18" customHeight="1" x14ac:dyDescent="0.4">
      <c r="A13" s="4">
        <v>43822</v>
      </c>
      <c r="B13" s="5" t="s">
        <v>35</v>
      </c>
      <c r="C13" s="12" t="s">
        <v>36</v>
      </c>
      <c r="D13" s="13" t="s">
        <v>37</v>
      </c>
      <c r="E13" s="8" t="s">
        <v>36</v>
      </c>
      <c r="F13" s="9">
        <v>40</v>
      </c>
      <c r="G13" s="10" t="str" cm="1">
        <f t="array" ref="G13">IF(ROW(G13)-ROW(G$4)+1&gt;COUNT(I$1:I$40),"",INDEX(H:H,SMALL(I$1:I$40,1+ROW(G13)-ROW(G$4))))</f>
        <v/>
      </c>
      <c r="H13">
        <v>13</v>
      </c>
      <c r="I13" s="1" t="str">
        <f t="shared" si="0"/>
        <v/>
      </c>
      <c r="J13" s="1" t="str" cm="1">
        <f t="array" ref="J13">IF(ROW(G16)-ROW(G$4)+1&gt;COUNT(I$1:I$40),"",INDEX(H:H,SMALL(I$1:I$40,1+ROW(G16)-ROW(G$4))))</f>
        <v/>
      </c>
      <c r="P13" t="str">
        <f ca="1">IF(Summary!L14="","",IF(F13=Summary!L14,"Right","Wrong"))</f>
        <v>Right</v>
      </c>
    </row>
    <row r="14" spans="1:19" ht="18" customHeight="1" x14ac:dyDescent="0.4">
      <c r="A14" s="4">
        <v>43823</v>
      </c>
      <c r="B14" s="5" t="s">
        <v>38</v>
      </c>
      <c r="C14" s="12" t="s">
        <v>39</v>
      </c>
      <c r="D14" s="13" t="s">
        <v>40</v>
      </c>
      <c r="E14" s="8" t="s">
        <v>39</v>
      </c>
      <c r="F14" s="9">
        <v>1</v>
      </c>
      <c r="G14" s="10" t="str" cm="1">
        <f t="array" ref="G14">IF(ROW(G14)-ROW(G$4)+1&gt;COUNT(I$1:I$40),"",INDEX(H:H,SMALL(I$1:I$40,1+ROW(G14)-ROW(G$4))))</f>
        <v/>
      </c>
      <c r="H14">
        <v>14</v>
      </c>
      <c r="I14" s="1" t="str">
        <f t="shared" si="0"/>
        <v/>
      </c>
      <c r="J14" s="1" t="str" cm="1">
        <f t="array" ref="J14">IF(ROW(G17)-ROW(G$4)+1&gt;COUNT(I$1:I$40),"",INDEX(H:H,SMALL(I$1:I$40,1+ROW(G17)-ROW(G$4))))</f>
        <v/>
      </c>
      <c r="P14" t="str">
        <f ca="1">IF(Summary!L15="","",IF(F14=Summary!L15,"Right","Wrong"))</f>
        <v>Right</v>
      </c>
    </row>
    <row r="15" spans="1:19" ht="18" customHeight="1" x14ac:dyDescent="0.4">
      <c r="A15" s="4">
        <v>43825</v>
      </c>
      <c r="B15" s="5" t="s">
        <v>41</v>
      </c>
      <c r="C15" s="12" t="s">
        <v>42</v>
      </c>
      <c r="D15" s="13" t="s">
        <v>43</v>
      </c>
      <c r="E15" s="8" t="s">
        <v>43</v>
      </c>
      <c r="F15" s="9">
        <v>13</v>
      </c>
      <c r="G15" s="10" t="str" cm="1">
        <f t="array" ref="G15">IF(ROW(G15)-ROW(G$4)+1&gt;COUNT(I$1:I$40),"",INDEX(H:H,SMALL(I$1:I$40,1+ROW(G15)-ROW(G$4))))</f>
        <v/>
      </c>
      <c r="H15">
        <v>15</v>
      </c>
      <c r="I15" s="1" t="str">
        <f t="shared" si="0"/>
        <v/>
      </c>
      <c r="J15" s="1" t="str" cm="1">
        <f t="array" ref="J15">IF(ROW(G18)-ROW(G$4)+1&gt;COUNT(I$1:I$40),"",INDEX(H:H,SMALL(I$1:I$40,1+ROW(G18)-ROW(G$4))))</f>
        <v/>
      </c>
      <c r="P15" t="str">
        <f ca="1">IF(Summary!L16="","",IF(F15=Summary!L16,"Right","Wrong"))</f>
        <v>Right</v>
      </c>
    </row>
    <row r="16" spans="1:19" ht="18" customHeight="1" x14ac:dyDescent="0.4">
      <c r="A16" s="4">
        <v>43825</v>
      </c>
      <c r="B16" s="5" t="s">
        <v>44</v>
      </c>
      <c r="C16" s="12" t="s">
        <v>45</v>
      </c>
      <c r="D16" s="13" t="s">
        <v>46</v>
      </c>
      <c r="E16" s="8" t="s">
        <v>45</v>
      </c>
      <c r="F16" s="9">
        <v>36</v>
      </c>
      <c r="G16" s="10" t="str" cm="1">
        <f t="array" ref="G16">IF(ROW(G16)-ROW(G$4)+1&gt;COUNT(I$1:I$40),"",INDEX(H:H,SMALL(I$1:I$40,1+ROW(G16)-ROW(G$4))))</f>
        <v/>
      </c>
      <c r="H16">
        <v>16</v>
      </c>
      <c r="I16" s="1" t="str">
        <f t="shared" si="0"/>
        <v/>
      </c>
      <c r="J16" s="1" t="str" cm="1">
        <f t="array" ref="J16">IF(ROW(G19)-ROW(G$4)+1&gt;COUNT(I$1:I$40),"",INDEX(H:H,SMALL(I$1:I$40,1+ROW(G19)-ROW(G$4))))</f>
        <v/>
      </c>
      <c r="P16" t="str">
        <f ca="1">IF(Summary!L17="","",IF(F16=Summary!L17,"Right","Wrong"))</f>
        <v>Right</v>
      </c>
    </row>
    <row r="17" spans="1:16" ht="18" customHeight="1" x14ac:dyDescent="0.4">
      <c r="A17" s="4">
        <v>43826</v>
      </c>
      <c r="B17" s="5" t="s">
        <v>47</v>
      </c>
      <c r="C17" s="12" t="s">
        <v>48</v>
      </c>
      <c r="D17" s="13" t="s">
        <v>49</v>
      </c>
      <c r="E17" s="8" t="s">
        <v>48</v>
      </c>
      <c r="F17" s="9">
        <v>21</v>
      </c>
      <c r="G17" s="10" t="str" cm="1">
        <f t="array" ref="G17">IF(ROW(G17)-ROW(G$4)+1&gt;COUNT(I$1:I$40),"",INDEX(H:H,SMALL(I$1:I$40,1+ROW(G17)-ROW(G$4))))</f>
        <v/>
      </c>
      <c r="H17">
        <v>17</v>
      </c>
      <c r="I17" s="1" t="str">
        <f t="shared" si="0"/>
        <v/>
      </c>
      <c r="J17" s="1" t="str" cm="1">
        <f t="array" ref="J17">IF(ROW(G20)-ROW(G$4)+1&gt;COUNT(I$1:I$40),"",INDEX(H:H,SMALL(I$1:I$40,1+ROW(G20)-ROW(G$4))))</f>
        <v/>
      </c>
      <c r="P17" t="str">
        <f ca="1">IF(Summary!L18="","",IF(F17=Summary!L18,"Right","Wrong"))</f>
        <v>Right</v>
      </c>
    </row>
    <row r="18" spans="1:16" ht="18" customHeight="1" x14ac:dyDescent="0.4">
      <c r="A18" s="4">
        <v>43826</v>
      </c>
      <c r="B18" s="5" t="s">
        <v>50</v>
      </c>
      <c r="C18" s="12" t="s">
        <v>51</v>
      </c>
      <c r="D18" s="13" t="s">
        <v>52</v>
      </c>
      <c r="E18" s="8" t="s">
        <v>52</v>
      </c>
      <c r="F18" s="9">
        <v>12</v>
      </c>
      <c r="G18" s="10" t="str" cm="1">
        <f t="array" ref="G18">IF(ROW(G18)-ROW(G$4)+1&gt;COUNT(I$1:I$40),"",INDEX(H:H,SMALL(I$1:I$40,1+ROW(G18)-ROW(G$4))))</f>
        <v/>
      </c>
      <c r="H18">
        <v>18</v>
      </c>
      <c r="I18" s="1" t="str">
        <f t="shared" si="0"/>
        <v/>
      </c>
      <c r="J18" s="1" t="str" cm="1">
        <f t="array" ref="J18">IF(ROW(G21)-ROW(G$4)+1&gt;COUNT(I$1:I$40),"",INDEX(H:H,SMALL(I$1:I$40,1+ROW(G21)-ROW(G$4))))</f>
        <v/>
      </c>
      <c r="P18" t="str">
        <f ca="1">IF(Summary!L19="","",IF(F18=Summary!L19,"Right","Wrong"))</f>
        <v>Right</v>
      </c>
    </row>
    <row r="19" spans="1:16" ht="18" customHeight="1" x14ac:dyDescent="0.4">
      <c r="A19" s="4">
        <v>43826</v>
      </c>
      <c r="B19" s="5" t="s">
        <v>53</v>
      </c>
      <c r="C19" s="12" t="s">
        <v>54</v>
      </c>
      <c r="D19" s="13" t="s">
        <v>55</v>
      </c>
      <c r="E19" s="8" t="s">
        <v>55</v>
      </c>
      <c r="F19" s="9">
        <v>14</v>
      </c>
      <c r="G19" s="10" t="str" cm="1">
        <f t="array" ref="G19">IF(ROW(G19)-ROW(G$4)+1&gt;COUNT(I$1:I$40),"",INDEX(H:H,SMALL(I$1:I$40,1+ROW(G19)-ROW(G$4))))</f>
        <v/>
      </c>
      <c r="H19">
        <v>19</v>
      </c>
      <c r="I19" s="1" t="str">
        <f t="shared" si="0"/>
        <v/>
      </c>
      <c r="J19" s="1" t="str" cm="1">
        <f t="array" ref="J19">IF(ROW(G22)-ROW(G$4)+1&gt;COUNT(I$1:I$40),"",INDEX(H:H,SMALL(I$1:I$40,1+ROW(G22)-ROW(G$4))))</f>
        <v/>
      </c>
      <c r="P19" t="str">
        <f ca="1">IF(Summary!L20="","",IF(F19=Summary!L20,"Right","Wrong"))</f>
        <v>Right</v>
      </c>
    </row>
    <row r="20" spans="1:16" ht="18" customHeight="1" x14ac:dyDescent="0.4">
      <c r="A20" s="4">
        <v>43826</v>
      </c>
      <c r="B20" s="5" t="s">
        <v>56</v>
      </c>
      <c r="C20" s="12" t="s">
        <v>57</v>
      </c>
      <c r="D20" s="13" t="s">
        <v>58</v>
      </c>
      <c r="E20" s="8" t="s">
        <v>58</v>
      </c>
      <c r="F20" s="9">
        <v>6</v>
      </c>
      <c r="G20" s="10" t="str" cm="1">
        <f t="array" ref="G20">IF(ROW(G20)-ROW(G$4)+1&gt;COUNT(I$1:I$40),"",INDEX(H:H,SMALL(I$1:I$40,1+ROW(G20)-ROW(G$4))))</f>
        <v/>
      </c>
      <c r="H20">
        <v>20</v>
      </c>
      <c r="I20" s="1" t="str">
        <f t="shared" si="0"/>
        <v/>
      </c>
      <c r="J20" s="1" t="str" cm="1">
        <f t="array" ref="J20">IF(ROW(G23)-ROW(G$4)+1&gt;COUNT(I$1:I$40),"",INDEX(H:H,SMALL(I$1:I$40,1+ROW(G23)-ROW(G$4))))</f>
        <v/>
      </c>
      <c r="P20" t="str">
        <f ca="1">IF(Summary!L21="","",IF(F20=Summary!L21,"Right","Wrong"))</f>
        <v>Right</v>
      </c>
    </row>
    <row r="21" spans="1:16" ht="18" customHeight="1" x14ac:dyDescent="0.4">
      <c r="A21" s="4">
        <v>43826</v>
      </c>
      <c r="B21" s="5" t="s">
        <v>59</v>
      </c>
      <c r="C21" s="12" t="s">
        <v>60</v>
      </c>
      <c r="D21" s="13" t="s">
        <v>61</v>
      </c>
      <c r="E21" s="8" t="s">
        <v>60</v>
      </c>
      <c r="F21" s="9">
        <v>10</v>
      </c>
      <c r="G21" s="10" t="str" cm="1">
        <f t="array" ref="G21">IF(ROW(G21)-ROW(G$4)+1&gt;COUNT(I$1:I$40),"",INDEX(H:H,SMALL(I$1:I$40,1+ROW(G21)-ROW(G$4))))</f>
        <v/>
      </c>
      <c r="H21">
        <v>21</v>
      </c>
      <c r="I21" s="1" t="str">
        <f t="shared" si="0"/>
        <v/>
      </c>
      <c r="J21" s="1" t="str" cm="1">
        <f t="array" ref="J21">IF(ROW(G24)-ROW(G$4)+1&gt;COUNT(I$1:I$40),"",INDEX(H:H,SMALL(I$1:I$40,1+ROW(G24)-ROW(G$4))))</f>
        <v/>
      </c>
      <c r="P21" t="str">
        <f ca="1">IF(Summary!L22="","",IF(F21=Summary!L22,"Right","Wrong"))</f>
        <v>Right</v>
      </c>
    </row>
    <row r="22" spans="1:16" ht="18" customHeight="1" x14ac:dyDescent="0.4">
      <c r="A22" s="4">
        <v>43827</v>
      </c>
      <c r="B22" s="5" t="s">
        <v>62</v>
      </c>
      <c r="C22" s="12" t="s">
        <v>63</v>
      </c>
      <c r="D22" s="13" t="s">
        <v>64</v>
      </c>
      <c r="E22" s="8" t="s">
        <v>63</v>
      </c>
      <c r="F22" s="9">
        <v>24</v>
      </c>
      <c r="G22" s="10" t="str" cm="1">
        <f t="array" ref="G22">IF(ROW(G22)-ROW(G$4)+1&gt;COUNT(I$1:I$40),"",INDEX(H:H,SMALL(I$1:I$40,1+ROW(G22)-ROW(G$4))))</f>
        <v/>
      </c>
      <c r="H22">
        <v>22</v>
      </c>
      <c r="I22" s="1" t="str">
        <f t="shared" si="0"/>
        <v/>
      </c>
      <c r="J22" s="1" t="str" cm="1">
        <f t="array" ref="J22">IF(ROW(G25)-ROW(G$4)+1&gt;COUNT(I$1:I$40),"",INDEX(H:H,SMALL(I$1:I$40,1+ROW(G25)-ROW(G$4))))</f>
        <v/>
      </c>
      <c r="P22" t="str">
        <f ca="1">IF(Summary!L23="","",IF(F22=Summary!L23,"Right","Wrong"))</f>
        <v>Right</v>
      </c>
    </row>
    <row r="23" spans="1:16" ht="18" customHeight="1" x14ac:dyDescent="0.4">
      <c r="A23" s="4">
        <v>43827</v>
      </c>
      <c r="B23" s="5" t="s">
        <v>65</v>
      </c>
      <c r="C23" s="12" t="s">
        <v>66</v>
      </c>
      <c r="D23" s="13" t="s">
        <v>67</v>
      </c>
      <c r="E23" s="8" t="s">
        <v>66</v>
      </c>
      <c r="F23" s="9">
        <v>29</v>
      </c>
      <c r="G23" s="10" t="str" cm="1">
        <f t="array" ref="G23">IF(ROW(G23)-ROW(G$4)+1&gt;COUNT(I$1:I$40),"",INDEX(H:H,SMALL(I$1:I$40,1+ROW(G23)-ROW(G$4))))</f>
        <v/>
      </c>
      <c r="H23">
        <v>23</v>
      </c>
      <c r="I23" s="1" t="str">
        <f t="shared" si="0"/>
        <v/>
      </c>
      <c r="J23" s="1" t="str" cm="1">
        <f t="array" ref="J23">IF(ROW(G26)-ROW(G$4)+1&gt;COUNT(I$1:I$40),"",INDEX(H:H,SMALL(I$1:I$40,1+ROW(G26)-ROW(G$4))))</f>
        <v/>
      </c>
      <c r="P23" t="str">
        <f ca="1">IF(Summary!L24="","",IF(F23=Summary!L24,"Right","Wrong"))</f>
        <v>Right</v>
      </c>
    </row>
    <row r="24" spans="1:16" ht="18" customHeight="1" x14ac:dyDescent="0.4">
      <c r="A24" s="4">
        <v>43827</v>
      </c>
      <c r="B24" s="5" t="s">
        <v>68</v>
      </c>
      <c r="C24" s="12" t="s">
        <v>69</v>
      </c>
      <c r="D24" s="13" t="s">
        <v>70</v>
      </c>
      <c r="E24" s="8" t="s">
        <v>69</v>
      </c>
      <c r="F24" s="9">
        <v>37</v>
      </c>
      <c r="G24" s="10" t="str" cm="1">
        <f t="array" ref="G24">IF(ROW(G24)-ROW(G$4)+1&gt;COUNT(I$1:I$40),"",INDEX(H:H,SMALL(I$1:I$40,1+ROW(G24)-ROW(G$4))))</f>
        <v/>
      </c>
      <c r="H24">
        <v>24</v>
      </c>
      <c r="I24" s="1" t="str">
        <f t="shared" si="0"/>
        <v/>
      </c>
      <c r="J24" s="1" t="str" cm="1">
        <f t="array" ref="J24">IF(ROW(G27)-ROW(G$4)+1&gt;COUNT(I$1:I$40),"",INDEX(H:H,SMALL(I$1:I$40,1+ROW(G27)-ROW(G$4))))</f>
        <v/>
      </c>
      <c r="P24" t="str">
        <f ca="1">IF(Summary!L25="","",IF(F24=Summary!L25,"Right","Wrong"))</f>
        <v>Right</v>
      </c>
    </row>
    <row r="25" spans="1:16" ht="18" customHeight="1" x14ac:dyDescent="0.4">
      <c r="A25" s="4">
        <v>43827</v>
      </c>
      <c r="B25" s="5" t="s">
        <v>71</v>
      </c>
      <c r="C25" s="12" t="s">
        <v>72</v>
      </c>
      <c r="D25" s="13" t="s">
        <v>73</v>
      </c>
      <c r="E25" s="8" t="s">
        <v>72</v>
      </c>
      <c r="F25" s="9">
        <v>8</v>
      </c>
      <c r="G25" s="10" t="str" cm="1">
        <f t="array" ref="G25">IF(ROW(G25)-ROW(G$4)+1&gt;COUNT(I$1:I$40),"",INDEX(H:H,SMALL(I$1:I$40,1+ROW(G25)-ROW(G$4))))</f>
        <v/>
      </c>
      <c r="H25">
        <v>25</v>
      </c>
      <c r="I25" s="1" t="str">
        <f t="shared" si="0"/>
        <v/>
      </c>
      <c r="J25" s="1" t="str" cm="1">
        <f t="array" ref="J25">IF(ROW(G28)-ROW(G$4)+1&gt;COUNT(I$1:I$40),"",INDEX(H:H,SMALL(I$1:I$40,1+ROW(G28)-ROW(G$4))))</f>
        <v/>
      </c>
      <c r="P25" t="str">
        <f ca="1">IF(Summary!L26="","",IF(F25=Summary!L26,"Right","Wrong"))</f>
        <v>Wrong</v>
      </c>
    </row>
    <row r="26" spans="1:16" ht="18" customHeight="1" x14ac:dyDescent="0.4">
      <c r="A26" s="4">
        <v>43829</v>
      </c>
      <c r="B26" s="5" t="s">
        <v>74</v>
      </c>
      <c r="C26" s="12" t="s">
        <v>75</v>
      </c>
      <c r="D26" s="13" t="s">
        <v>76</v>
      </c>
      <c r="E26" s="8" t="s">
        <v>75</v>
      </c>
      <c r="F26" s="9">
        <v>7</v>
      </c>
      <c r="G26" s="10" t="str" cm="1">
        <f t="array" ref="G26">IF(ROW(G26)-ROW(G$4)+1&gt;COUNT(I$1:I$40),"",INDEX(H:H,SMALL(I$1:I$40,1+ROW(G26)-ROW(G$4))))</f>
        <v/>
      </c>
      <c r="H26">
        <v>26</v>
      </c>
      <c r="I26" s="1" t="str">
        <f t="shared" si="0"/>
        <v/>
      </c>
      <c r="J26" s="1" t="str" cm="1">
        <f t="array" ref="J26">IF(ROW(G29)-ROW(G$4)+1&gt;COUNT(I$1:I$40),"",INDEX(H:H,SMALL(I$1:I$40,1+ROW(G29)-ROW(G$4))))</f>
        <v/>
      </c>
      <c r="P26" t="str">
        <f ca="1">IF(Summary!L27="","",IF(F26=Summary!L27,"Right","Wrong"))</f>
        <v>Right</v>
      </c>
    </row>
    <row r="27" spans="1:16" ht="18" customHeight="1" x14ac:dyDescent="0.4">
      <c r="A27" s="4">
        <v>43829</v>
      </c>
      <c r="B27" s="5" t="s">
        <v>77</v>
      </c>
      <c r="C27" s="12" t="s">
        <v>78</v>
      </c>
      <c r="D27" s="13" t="s">
        <v>148</v>
      </c>
      <c r="E27" s="8" t="s">
        <v>148</v>
      </c>
      <c r="F27" s="9">
        <v>3</v>
      </c>
      <c r="G27" s="10" t="str" cm="1">
        <f t="array" ref="G27">IF(ROW(G27)-ROW(G$4)+1&gt;COUNT(I$1:I$40),"",INDEX(H:H,SMALL(I$1:I$40,1+ROW(G27)-ROW(G$4))))</f>
        <v/>
      </c>
      <c r="H27">
        <v>27</v>
      </c>
      <c r="I27" s="1" t="str">
        <f t="shared" si="0"/>
        <v/>
      </c>
      <c r="J27" s="1" t="str" cm="1">
        <f t="array" ref="J27">IF(ROW(G30)-ROW(G$4)+1&gt;COUNT(I$1:I$40),"",INDEX(H:H,SMALL(I$1:I$40,1+ROW(G30)-ROW(G$4))))</f>
        <v/>
      </c>
      <c r="P27" t="str">
        <f ca="1">IF(Summary!L28="","",IF(F27=Summary!L28,"Right","Wrong"))</f>
        <v>Right</v>
      </c>
    </row>
    <row r="28" spans="1:16" ht="18" customHeight="1" x14ac:dyDescent="0.4">
      <c r="A28" s="4">
        <v>43829</v>
      </c>
      <c r="B28" s="5" t="s">
        <v>80</v>
      </c>
      <c r="C28" s="12" t="s">
        <v>81</v>
      </c>
      <c r="D28" s="13" t="s">
        <v>82</v>
      </c>
      <c r="E28" s="8" t="s">
        <v>82</v>
      </c>
      <c r="F28" s="9">
        <v>15</v>
      </c>
      <c r="G28" s="10" t="str" cm="1">
        <f t="array" ref="G28">IF(ROW(G28)-ROW(G$4)+1&gt;COUNT(I$1:I$40),"",INDEX(H:H,SMALL(I$1:I$40,1+ROW(G28)-ROW(G$4))))</f>
        <v/>
      </c>
      <c r="H28">
        <v>28</v>
      </c>
      <c r="I28" s="1" t="str">
        <f t="shared" si="0"/>
        <v/>
      </c>
      <c r="J28" s="1" t="str" cm="1">
        <f t="array" ref="J28">IF(ROW(G31)-ROW(G$4)+1&gt;COUNT(I$1:I$40),"",INDEX(H:H,SMALL(I$1:I$40,1+ROW(G31)-ROW(G$4))))</f>
        <v/>
      </c>
      <c r="P28" t="str">
        <f ca="1">IF(Summary!L29="","",IF(F28=Summary!L29,"Right","Wrong"))</f>
        <v>Right</v>
      </c>
    </row>
    <row r="29" spans="1:16" ht="18" customHeight="1" x14ac:dyDescent="0.4">
      <c r="A29" s="4">
        <v>43829</v>
      </c>
      <c r="B29" s="5" t="s">
        <v>83</v>
      </c>
      <c r="C29" s="12" t="s">
        <v>84</v>
      </c>
      <c r="D29" s="13" t="s">
        <v>85</v>
      </c>
      <c r="E29" s="8" t="s">
        <v>84</v>
      </c>
      <c r="F29" s="9">
        <v>38</v>
      </c>
      <c r="G29" s="10" t="str" cm="1">
        <f t="array" ref="G29">IF(ROW(G29)-ROW(G$4)+1&gt;COUNT(I$1:I$40),"",INDEX(H:H,SMALL(I$1:I$40,1+ROW(G29)-ROW(G$4))))</f>
        <v/>
      </c>
      <c r="H29">
        <v>29</v>
      </c>
      <c r="I29" s="1" t="str">
        <f t="shared" si="0"/>
        <v/>
      </c>
      <c r="J29" s="1" t="str" cm="1">
        <f t="array" ref="J29">IF(ROW(G32)-ROW(G$4)+1&gt;COUNT(I$1:I$40),"",INDEX(H:H,SMALL(I$1:I$40,1+ROW(G32)-ROW(G$4))))</f>
        <v/>
      </c>
      <c r="P29" t="str">
        <f ca="1">IF(Summary!L30="","",IF(F29=Summary!L30,"Right","Wrong"))</f>
        <v>Right</v>
      </c>
    </row>
    <row r="30" spans="1:16" ht="18" customHeight="1" x14ac:dyDescent="0.4">
      <c r="A30" s="4">
        <v>43830</v>
      </c>
      <c r="B30" s="5" t="s">
        <v>86</v>
      </c>
      <c r="C30" s="12" t="s">
        <v>87</v>
      </c>
      <c r="D30" s="13" t="s">
        <v>88</v>
      </c>
      <c r="E30" s="8" t="s">
        <v>88</v>
      </c>
      <c r="F30" s="9">
        <v>27</v>
      </c>
      <c r="G30" s="10" t="str" cm="1">
        <f t="array" ref="G30">IF(ROW(G30)-ROW(G$4)+1&gt;COUNT(I$1:I$40),"",INDEX(H:H,SMALL(I$1:I$40,1+ROW(G30)-ROW(G$4))))</f>
        <v/>
      </c>
      <c r="H30">
        <v>30</v>
      </c>
      <c r="I30" s="1" t="str">
        <f t="shared" si="0"/>
        <v/>
      </c>
      <c r="J30" s="1" t="str" cm="1">
        <f t="array" ref="J30">IF(ROW(G33)-ROW(G$4)+1&gt;COUNT(I$1:I$40),"",INDEX(H:H,SMALL(I$1:I$40,1+ROW(G33)-ROW(G$4))))</f>
        <v/>
      </c>
      <c r="P30" t="str">
        <f ca="1">IF(Summary!L31="","",IF(F30=Summary!L31,"Right","Wrong"))</f>
        <v>Wrong</v>
      </c>
    </row>
    <row r="31" spans="1:16" ht="18" customHeight="1" x14ac:dyDescent="0.4">
      <c r="A31" s="4">
        <v>43830</v>
      </c>
      <c r="B31" s="5" t="s">
        <v>89</v>
      </c>
      <c r="C31" s="12" t="s">
        <v>90</v>
      </c>
      <c r="D31" s="13" t="s">
        <v>91</v>
      </c>
      <c r="E31" s="8" t="s">
        <v>91</v>
      </c>
      <c r="F31" s="9">
        <v>33</v>
      </c>
      <c r="G31" s="10" t="str" cm="1">
        <f t="array" ref="G31">IF(ROW(G31)-ROW(G$4)+1&gt;COUNT(I$1:I$40),"",INDEX(H:H,SMALL(I$1:I$40,1+ROW(G31)-ROW(G$4))))</f>
        <v/>
      </c>
      <c r="H31">
        <v>31</v>
      </c>
      <c r="I31" s="1" t="str">
        <f t="shared" si="0"/>
        <v/>
      </c>
      <c r="J31" s="1" t="str" cm="1">
        <f t="array" ref="J31">IF(ROW(G34)-ROW(G$4)+1&gt;COUNT(I$1:I$40),"",INDEX(H:H,SMALL(I$1:I$40,1+ROW(G34)-ROW(G$4))))</f>
        <v/>
      </c>
      <c r="P31" t="str">
        <f ca="1">IF(Summary!L32="","",IF(F31=Summary!L32,"Right","Wrong"))</f>
        <v>Right</v>
      </c>
    </row>
    <row r="32" spans="1:16" ht="18" customHeight="1" x14ac:dyDescent="0.4">
      <c r="A32" s="4">
        <v>43830</v>
      </c>
      <c r="B32" s="5" t="s">
        <v>92</v>
      </c>
      <c r="C32" s="12" t="s">
        <v>93</v>
      </c>
      <c r="D32" s="13" t="s">
        <v>94</v>
      </c>
      <c r="E32" s="8" t="s">
        <v>93</v>
      </c>
      <c r="F32" s="9">
        <v>16</v>
      </c>
      <c r="G32" s="10" t="str" cm="1">
        <f t="array" ref="G32">IF(ROW(G32)-ROW(G$4)+1&gt;COUNT(I$1:I$40),"",INDEX(H:H,SMALL(I$1:I$40,1+ROW(G32)-ROW(G$4))))</f>
        <v/>
      </c>
      <c r="H32">
        <v>32</v>
      </c>
      <c r="I32" s="1" t="str">
        <f t="shared" si="0"/>
        <v/>
      </c>
      <c r="J32" s="1" t="str" cm="1">
        <f t="array" ref="J32">IF(ROW(G35)-ROW(G$4)+1&gt;COUNT(I$1:I$40),"",INDEX(H:H,SMALL(I$1:I$40,1+ROW(G35)-ROW(G$4))))</f>
        <v/>
      </c>
      <c r="P32" t="str">
        <f ca="1">IF(Summary!L33="","",IF(F32=Summary!L33,"Right","Wrong"))</f>
        <v>Right</v>
      </c>
    </row>
    <row r="33" spans="1:16" ht="18" customHeight="1" x14ac:dyDescent="0.4">
      <c r="A33" s="4">
        <v>43830</v>
      </c>
      <c r="B33" s="5" t="s">
        <v>95</v>
      </c>
      <c r="C33" s="12" t="s">
        <v>96</v>
      </c>
      <c r="D33" s="13" t="s">
        <v>97</v>
      </c>
      <c r="E33" s="8" t="s">
        <v>97</v>
      </c>
      <c r="F33" s="9">
        <v>32</v>
      </c>
      <c r="G33" s="10" t="str" cm="1">
        <f t="array" ref="G33">IF(ROW(G33)-ROW(G$4)+1&gt;COUNT(I$1:I$40),"",INDEX(H:H,SMALL(I$1:I$40,1+ROW(G33)-ROW(G$4))))</f>
        <v/>
      </c>
      <c r="H33">
        <v>33</v>
      </c>
      <c r="I33" s="1" t="str">
        <f t="shared" si="0"/>
        <v/>
      </c>
      <c r="J33" s="1" t="str" cm="1">
        <f t="array" ref="J33">IF(ROW(G36)-ROW(G$4)+1&gt;COUNT(I$1:I$40),"",INDEX(H:H,SMALL(I$1:I$40,1+ROW(G36)-ROW(G$4))))</f>
        <v/>
      </c>
      <c r="P33" t="str">
        <f ca="1">IF(Summary!L34="","",IF(F33=Summary!L34,"Right","Wrong"))</f>
        <v>Right</v>
      </c>
    </row>
    <row r="34" spans="1:16" ht="18" customHeight="1" x14ac:dyDescent="0.4">
      <c r="A34" s="4">
        <v>43830</v>
      </c>
      <c r="B34" s="5" t="s">
        <v>98</v>
      </c>
      <c r="C34" s="12" t="s">
        <v>99</v>
      </c>
      <c r="D34" s="13" t="s">
        <v>100</v>
      </c>
      <c r="E34" s="8" t="s">
        <v>99</v>
      </c>
      <c r="F34" s="9">
        <v>25</v>
      </c>
      <c r="G34" s="10" t="str" cm="1">
        <f t="array" ref="G34">IF(ROW(G34)-ROW(G$4)+1&gt;COUNT(I$1:I$40),"",INDEX(H:H,SMALL(I$1:I$40,1+ROW(G34)-ROW(G$4))))</f>
        <v/>
      </c>
      <c r="H34">
        <v>34</v>
      </c>
      <c r="I34" s="1" t="str">
        <f t="shared" si="0"/>
        <v/>
      </c>
      <c r="J34" s="1" t="str" cm="1">
        <f t="array" ref="J34">IF(ROW(G37)-ROW(G$4)+1&gt;COUNT(I$1:I$40),"",INDEX(H:H,SMALL(I$1:I$40,1+ROW(G37)-ROW(G$4))))</f>
        <v/>
      </c>
      <c r="P34" t="str">
        <f ca="1">IF(Summary!L35="","",IF(F34=Summary!L35,"Right","Wrong"))</f>
        <v>Wrong</v>
      </c>
    </row>
    <row r="35" spans="1:16" ht="18" customHeight="1" x14ac:dyDescent="0.4">
      <c r="A35" s="4">
        <v>43466</v>
      </c>
      <c r="B35" s="5" t="s">
        <v>101</v>
      </c>
      <c r="C35" s="12" t="s">
        <v>102</v>
      </c>
      <c r="D35" s="13" t="s">
        <v>103</v>
      </c>
      <c r="E35" s="8" t="s">
        <v>102</v>
      </c>
      <c r="F35" s="9">
        <v>30</v>
      </c>
      <c r="G35" s="10" t="str" cm="1">
        <f t="array" ref="G35">IF(ROW(G35)-ROW(G$4)+1&gt;COUNT(I$1:I$40),"",INDEX(H:H,SMALL(I$1:I$40,1+ROW(G35)-ROW(G$4))))</f>
        <v/>
      </c>
      <c r="H35">
        <v>35</v>
      </c>
      <c r="I35" s="1" t="str">
        <f t="shared" si="0"/>
        <v/>
      </c>
      <c r="J35" s="1" t="str" cm="1">
        <f t="array" ref="J35">IF(ROW(G38)-ROW(G$4)+1&gt;COUNT(I$1:I$40),"",INDEX(H:H,SMALL(I$1:I$40,1+ROW(G38)-ROW(G$4))))</f>
        <v/>
      </c>
      <c r="P35" t="str">
        <f ca="1">IF(Summary!L36="","",IF(F35=Summary!L36,"Right","Wrong"))</f>
        <v>Right</v>
      </c>
    </row>
    <row r="36" spans="1:16" ht="18" customHeight="1" x14ac:dyDescent="0.4">
      <c r="A36" s="4">
        <v>43466</v>
      </c>
      <c r="B36" s="5" t="s">
        <v>104</v>
      </c>
      <c r="C36" s="12" t="s">
        <v>105</v>
      </c>
      <c r="D36" s="13" t="s">
        <v>106</v>
      </c>
      <c r="E36" s="8" t="s">
        <v>106</v>
      </c>
      <c r="F36" s="9">
        <v>2</v>
      </c>
      <c r="G36" s="10" t="str" cm="1">
        <f t="array" ref="G36">IF(ROW(G36)-ROW(G$4)+1&gt;COUNT(I$1:I$40),"",INDEX(H:H,SMALL(I$1:I$40,1+ROW(G36)-ROW(G$4))))</f>
        <v/>
      </c>
      <c r="H36">
        <v>36</v>
      </c>
      <c r="I36" s="1" t="str">
        <f t="shared" si="0"/>
        <v/>
      </c>
      <c r="J36" s="1" t="str" cm="1">
        <f t="array" ref="J36">IF(ROW(G39)-ROW(G$4)+1&gt;COUNT(I$1:I$40),"",INDEX(H:H,SMALL(I$1:I$40,1+ROW(G39)-ROW(G$4))))</f>
        <v/>
      </c>
      <c r="P36" t="str">
        <f ca="1">IF(Summary!L37="","",IF(F36=Summary!L37,"Right","Wrong"))</f>
        <v>Right</v>
      </c>
    </row>
    <row r="37" spans="1:16" ht="18" customHeight="1" x14ac:dyDescent="0.4">
      <c r="A37" s="4">
        <v>43466</v>
      </c>
      <c r="B37" s="5" t="s">
        <v>107</v>
      </c>
      <c r="C37" s="12" t="s">
        <v>108</v>
      </c>
      <c r="D37" s="13" t="s">
        <v>109</v>
      </c>
      <c r="E37" s="8" t="s">
        <v>109</v>
      </c>
      <c r="F37" s="9">
        <v>9</v>
      </c>
      <c r="G37" s="10" t="str" cm="1">
        <f t="array" ref="G37">IF(ROW(G37)-ROW(G$4)+1&gt;COUNT(I$1:I$40),"",INDEX(H:H,SMALL(I$1:I$40,1+ROW(G37)-ROW(G$4))))</f>
        <v/>
      </c>
      <c r="H37">
        <v>37</v>
      </c>
      <c r="I37" s="1" t="str">
        <f t="shared" si="0"/>
        <v/>
      </c>
      <c r="J37" s="1" t="str" cm="1">
        <f t="array" ref="J37">IF(ROW(G40)-ROW(G$4)+1&gt;COUNT(I$1:I$40),"",INDEX(H:H,SMALL(I$1:I$40,1+ROW(G40)-ROW(G$4))))</f>
        <v/>
      </c>
      <c r="P37" t="str">
        <f ca="1">IF(Summary!L38="","",IF(F37=Summary!L38,"Right","Wrong"))</f>
        <v>Wrong</v>
      </c>
    </row>
    <row r="38" spans="1:16" ht="18" customHeight="1" x14ac:dyDescent="0.4">
      <c r="A38" s="4">
        <v>43466</v>
      </c>
      <c r="B38" s="5" t="s">
        <v>110</v>
      </c>
      <c r="C38" s="12" t="s">
        <v>111</v>
      </c>
      <c r="D38" s="13" t="s">
        <v>112</v>
      </c>
      <c r="E38" s="8" t="s">
        <v>111</v>
      </c>
      <c r="F38" s="9">
        <v>18</v>
      </c>
      <c r="G38" s="10" t="str" cm="1">
        <f t="array" ref="G38">IF(ROW(G38)-ROW(G$4)+1&gt;COUNT(I$1:I$40),"",INDEX(H:H,SMALL(I$1:I$40,1+ROW(G38)-ROW(G$4))))</f>
        <v/>
      </c>
      <c r="H38">
        <v>38</v>
      </c>
      <c r="I38" s="1" t="str">
        <f t="shared" si="0"/>
        <v/>
      </c>
      <c r="J38" s="1" t="str" cm="1">
        <f t="array" ref="J38">IF(ROW(G41)-ROW(G$4)+1&gt;COUNT(I$1:I$40),"",INDEX(H:H,SMALL(I$1:I$40,1+ROW(G41)-ROW(G$4))))</f>
        <v/>
      </c>
      <c r="P38" t="str">
        <f ca="1">IF(Summary!L39="","",IF(F38=Summary!L39,"Right","Wrong"))</f>
        <v>Right</v>
      </c>
    </row>
    <row r="39" spans="1:16" ht="18" customHeight="1" x14ac:dyDescent="0.4">
      <c r="A39" s="4">
        <v>43467</v>
      </c>
      <c r="B39" s="5" t="s">
        <v>113</v>
      </c>
      <c r="C39" s="12" t="s">
        <v>114</v>
      </c>
      <c r="D39" s="13" t="s">
        <v>115</v>
      </c>
      <c r="E39" s="8" t="s">
        <v>115</v>
      </c>
      <c r="F39" s="9">
        <v>35</v>
      </c>
      <c r="G39" s="10" t="str" cm="1">
        <f t="array" ref="G39">IF(ROW(G39)-ROW(G$4)+1&gt;COUNT(I$1:I$40),"",INDEX(H:H,SMALL(I$1:I$40,1+ROW(G39)-ROW(G$4))))</f>
        <v/>
      </c>
      <c r="H39">
        <v>39</v>
      </c>
      <c r="I39" s="1" t="str">
        <f t="shared" si="0"/>
        <v/>
      </c>
      <c r="J39" s="1" t="str" cm="1">
        <f t="array" ref="J39">IF(ROW(G42)-ROW(G$4)+1&gt;COUNT(I$1:I$40),"",INDEX(H:H,SMALL(I$1:I$40,1+ROW(G42)-ROW(G$4))))</f>
        <v/>
      </c>
      <c r="P39" t="str">
        <f ca="1">IF(Summary!L40="","",IF(F39=Summary!L40,"Right","Wrong"))</f>
        <v>Right</v>
      </c>
    </row>
    <row r="40" spans="1:16" ht="18" customHeight="1" x14ac:dyDescent="0.4">
      <c r="A40" s="4">
        <v>43467</v>
      </c>
      <c r="B40" s="5" t="s">
        <v>116</v>
      </c>
      <c r="C40" s="12" t="s">
        <v>117</v>
      </c>
      <c r="D40" s="13" t="s">
        <v>118</v>
      </c>
      <c r="E40" s="8" t="s">
        <v>117</v>
      </c>
      <c r="F40" s="9">
        <v>11</v>
      </c>
      <c r="G40" s="10" t="str" cm="1">
        <f t="array" ref="G40">IF(ROW(G40)-ROW(G$4)+1&gt;COUNT(I$1:I$40),"",INDEX(H:H,SMALL(I$1:I$40,1+ROW(G40)-ROW(G$4))))</f>
        <v/>
      </c>
      <c r="H40">
        <v>40</v>
      </c>
      <c r="I40" s="1" t="str">
        <f t="shared" si="0"/>
        <v/>
      </c>
      <c r="J40" s="1" t="str" cm="1">
        <f t="array" ref="J40">IF(ROW(G43)-ROW(G$4)+1&gt;COUNT(I$1:I$40),"",INDEX(H:H,SMALL(I$1:I$40,1+ROW(G43)-ROW(G$4))))</f>
        <v/>
      </c>
      <c r="P40" t="str">
        <f ca="1">IF(Summary!L41="","",IF(F40=Summary!L41,"Right","Wrong"))</f>
        <v>Right</v>
      </c>
    </row>
    <row r="41" spans="1:16" ht="18" customHeight="1" x14ac:dyDescent="0.4">
      <c r="A41" s="4">
        <v>43468</v>
      </c>
      <c r="B41" s="5" t="s">
        <v>119</v>
      </c>
      <c r="C41" s="12" t="s">
        <v>120</v>
      </c>
      <c r="D41" s="13" t="s">
        <v>121</v>
      </c>
      <c r="E41" s="8" t="s">
        <v>120</v>
      </c>
      <c r="F41" s="9">
        <v>23</v>
      </c>
      <c r="G41" s="10" t="str" cm="1">
        <f t="array" ref="G41">IF(ROW(G41)-ROW(G$4)+1&gt;COUNT(I$1:I$40),"",INDEX(H:H,SMALL(I$1:I$40,1+ROW(G41)-ROW(G$4))))</f>
        <v/>
      </c>
      <c r="I41" s="1"/>
      <c r="J41" s="1" t="str" cm="1">
        <f t="array" ref="J41">IF(ROW(G44)-ROW(G$4)+1&gt;COUNT(I$1:I$40),"",INDEX(H:H,SMALL(I$1:I$40,1+ROW(G44)-ROW(G$4))))</f>
        <v/>
      </c>
      <c r="P41" t="str">
        <f ca="1">IF(Summary!L42="","",IF(F41=Summary!L42,"Right","Wrong"))</f>
        <v>Right</v>
      </c>
    </row>
    <row r="42" spans="1:16" ht="18" customHeight="1" x14ac:dyDescent="0.4">
      <c r="A42" s="4">
        <v>43469</v>
      </c>
      <c r="B42" s="5" t="s">
        <v>122</v>
      </c>
      <c r="C42" s="12" t="s">
        <v>123</v>
      </c>
      <c r="D42" s="13" t="s">
        <v>124</v>
      </c>
      <c r="E42" s="8" t="s">
        <v>123</v>
      </c>
      <c r="F42" s="9">
        <v>28</v>
      </c>
      <c r="G42" s="10" t="str" cm="1">
        <f t="array" ref="G42">IF(ROW(G42)-ROW(G$4)+1&gt;COUNT(I$1:I$40),"",INDEX(H:H,SMALL(I$1:I$40,1+ROW(G42)-ROW(G$4))))</f>
        <v/>
      </c>
      <c r="H42" s="14"/>
      <c r="P42" t="str">
        <f ca="1">IF(Summary!L43="","",IF(F42=Summary!L43,"Right","Wrong"))</f>
        <v>Right</v>
      </c>
    </row>
    <row r="43" spans="1:16" ht="18" customHeight="1" thickBot="1" x14ac:dyDescent="0.45">
      <c r="A43" s="15">
        <v>43471</v>
      </c>
      <c r="B43" s="16" t="s">
        <v>125</v>
      </c>
      <c r="C43" s="17" t="s">
        <v>126</v>
      </c>
      <c r="D43" s="18" t="s">
        <v>127</v>
      </c>
      <c r="E43" s="19" t="s">
        <v>126</v>
      </c>
      <c r="F43" s="20">
        <v>34</v>
      </c>
      <c r="G43" s="21" t="str" cm="1">
        <f t="array" ref="G43">IF(ROW(G43)-ROW(G$4)+1&gt;COUNT(I$1:I$40),"",INDEX(H:H,SMALL(I$1:I$40,1+ROW(G43)-ROW(G$4))))</f>
        <v/>
      </c>
      <c r="H43" s="14"/>
      <c r="P43" t="str">
        <f ca="1">IF(Summary!L44="","",IF(F43=Summary!L44,"Right","Wrong"))</f>
        <v>Right</v>
      </c>
    </row>
    <row r="44" spans="1:16" ht="18" customHeight="1" x14ac:dyDescent="0.4">
      <c r="A44" s="22"/>
      <c r="B44" s="104" t="s">
        <v>128</v>
      </c>
      <c r="C44" s="104"/>
      <c r="D44" s="104"/>
      <c r="E44" s="23" t="s">
        <v>69</v>
      </c>
      <c r="F44" s="24">
        <v>61</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B1 E4:F44">
    <cfRule type="containsBlanks" dxfId="33" priority="4">
      <formula>LEN(TRIM(B1))=0</formula>
    </cfRule>
  </conditionalFormatting>
  <conditionalFormatting sqref="F4:F44">
    <cfRule type="duplicateValues" dxfId="32" priority="3"/>
  </conditionalFormatting>
  <conditionalFormatting sqref="P4:P43">
    <cfRule type="cellIs" dxfId="31" priority="1" operator="equal">
      <formula>"Wrong"</formula>
    </cfRule>
    <cfRule type="cellIs" dxfId="30" priority="2" operator="equal">
      <formula>"Right"</formula>
    </cfRule>
  </conditionalFormatting>
  <dataValidations count="3">
    <dataValidation type="list" allowBlank="1" showInputMessage="1" sqref="F4:F43" xr:uid="{3839B910-3289-49DE-8955-C35224D255EA}">
      <formula1>Confidence_Count</formula1>
    </dataValidation>
    <dataValidation type="list" errorStyle="warning" allowBlank="1" showInputMessage="1" sqref="E4:E43" xr:uid="{BF50F32B-9DA6-4678-991B-8FD9EFEABB1C}">
      <formula1>$C4:$D4</formula1>
    </dataValidation>
    <dataValidation type="list" allowBlank="1" showInputMessage="1" showErrorMessage="1" sqref="E44" xr:uid="{DAD057C3-23B3-4E4C-ACBA-D88414896A67}">
      <formula1>"LSU,Ohio State,Clemson,Oklahoma"</formula1>
    </dataValidation>
  </dataValidations>
  <pageMargins left="0.7" right="0.7" top="0.75" bottom="0.75" header="0.3" footer="0.3"/>
  <pageSetup orientation="portrait" horizontalDpi="4294967295" verticalDpi="4294967295"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866A1-65BC-4AB5-B288-A82E7582F4D9}">
  <sheetPr codeName="Sheet15"/>
  <dimension ref="A1:S44"/>
  <sheetViews>
    <sheetView showGridLines="0" workbookViewId="0">
      <selection activeCell="P1" sqref="P1:P1048576"/>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ht="14.5" customHeight="1" x14ac:dyDescent="0.35">
      <c r="A1" s="105" t="s">
        <v>0</v>
      </c>
      <c r="B1" s="105" t="s">
        <v>136</v>
      </c>
      <c r="F1" s="107" t="s">
        <v>1</v>
      </c>
      <c r="G1" s="105" t="s">
        <v>145</v>
      </c>
      <c r="H1">
        <v>1</v>
      </c>
      <c r="I1" s="1" t="str">
        <f t="shared" ref="I1:I40" si="0">IF(COUNTIF($F$4:$F$43,H1)&gt;=1,"",ROW())</f>
        <v/>
      </c>
      <c r="J1" s="1" t="str" cm="1">
        <f t="array" ref="J1">IF(ROW(G4)-ROW(G$4)+1&gt;COUNT(I$1:I$40),"",INDEX(H:H,SMALL(I$1:I$40,1+ROW(G4)-ROW(G$4))))</f>
        <v/>
      </c>
    </row>
    <row r="2" spans="1:19" ht="15" customHeight="1"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3" t="s">
        <v>2</v>
      </c>
      <c r="B3" s="3" t="s">
        <v>3</v>
      </c>
      <c r="C3" s="109" t="s">
        <v>4</v>
      </c>
      <c r="D3" s="109"/>
      <c r="E3" s="3" t="s">
        <v>5</v>
      </c>
      <c r="F3" s="3" t="s">
        <v>6</v>
      </c>
      <c r="G3" s="3" t="s">
        <v>7</v>
      </c>
      <c r="H3">
        <v>3</v>
      </c>
      <c r="I3" s="1" t="str">
        <f t="shared" si="0"/>
        <v/>
      </c>
      <c r="J3" s="1" t="str" cm="1">
        <f t="array" ref="J3">IF(ROW(G6)-ROW(G$4)+1&gt;COUNT(I$1:I$40),"",INDEX(H:H,SMALL(I$1:I$40,1+ROW(G6)-ROW(G$4))))</f>
        <v/>
      </c>
      <c r="P3" t="str">
        <f ca="1">_xlfn.CONCAT(COUNTIF(P4:P43,"Right")&amp;"/"&amp;(COUNTIF(P4:P43,"Right")+COUNTIF(P4:P43,"Wrong")))</f>
        <v>27/40</v>
      </c>
    </row>
    <row r="4" spans="1:19" ht="18" customHeight="1" thickTop="1" x14ac:dyDescent="0.4">
      <c r="A4" s="4">
        <v>43819</v>
      </c>
      <c r="B4" s="5" t="s">
        <v>8</v>
      </c>
      <c r="C4" s="6" t="s">
        <v>9</v>
      </c>
      <c r="D4" s="7" t="s">
        <v>10</v>
      </c>
      <c r="E4" s="8" t="s">
        <v>9</v>
      </c>
      <c r="F4" s="9">
        <v>12</v>
      </c>
      <c r="G4" s="10" t="str" cm="1">
        <f t="array" ref="G4">IF(ROW(G4)-ROW(G$4)+1&gt;COUNT(I$1:I$40),"",INDEX(H:H,SMALL(I$1:I$40,1+ROW(G4)-ROW(G$4))))</f>
        <v/>
      </c>
      <c r="H4">
        <v>4</v>
      </c>
      <c r="I4" s="1" t="str">
        <f t="shared" si="0"/>
        <v/>
      </c>
      <c r="J4" s="1" t="str" cm="1">
        <f t="array" ref="J4">IF(ROW(G7)-ROW(G$4)+1&gt;COUNT(I$1:I$40),"",INDEX(H:H,SMALL(I$1:I$40,1+ROW(G7)-ROW(G$4))))</f>
        <v/>
      </c>
      <c r="N4" s="11"/>
      <c r="P4" t="str">
        <f ca="1">IF(Summary!M5="","",IF(F4=Summary!M5,"Right","Wrong"))</f>
        <v>Right</v>
      </c>
    </row>
    <row r="5" spans="1:19" ht="18" customHeight="1" x14ac:dyDescent="0.4">
      <c r="A5" s="4">
        <v>43819</v>
      </c>
      <c r="B5" s="5" t="s">
        <v>11</v>
      </c>
      <c r="C5" s="12" t="s">
        <v>12</v>
      </c>
      <c r="D5" s="13" t="s">
        <v>13</v>
      </c>
      <c r="E5" s="8" t="s">
        <v>12</v>
      </c>
      <c r="F5" s="9">
        <v>27</v>
      </c>
      <c r="G5" s="10" t="str" cm="1">
        <f t="array" ref="G5">IF(ROW(G5)-ROW(G$4)+1&gt;COUNT(I$1:I$40),"",INDEX(H:H,SMALL(I$1:I$40,1+ROW(G5)-ROW(G$4))))</f>
        <v/>
      </c>
      <c r="H5">
        <v>5</v>
      </c>
      <c r="I5" s="1" t="str">
        <f t="shared" si="0"/>
        <v/>
      </c>
      <c r="J5" s="1" t="str" cm="1">
        <f t="array" ref="J5">IF(ROW(G8)-ROW(G$4)+1&gt;COUNT(I$1:I$40),"",INDEX(H:H,SMALL(I$1:I$40,1+ROW(G8)-ROW(G$4))))</f>
        <v/>
      </c>
      <c r="P5" t="str">
        <f ca="1">IF(Summary!M6="","",IF(F5=Summary!M6,"Right","Wrong"))</f>
        <v>Wrong</v>
      </c>
    </row>
    <row r="6" spans="1:19" ht="18" customHeight="1" x14ac:dyDescent="0.4">
      <c r="A6" s="4">
        <v>43820</v>
      </c>
      <c r="B6" s="5" t="s">
        <v>14</v>
      </c>
      <c r="C6" s="12" t="s">
        <v>15</v>
      </c>
      <c r="D6" s="13" t="s">
        <v>16</v>
      </c>
      <c r="E6" s="8" t="s">
        <v>15</v>
      </c>
      <c r="F6" s="9">
        <v>1</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IF(Summary!M7="","",IF(F6=Summary!M7,"Right","Wrong"))</f>
        <v>Wrong</v>
      </c>
    </row>
    <row r="7" spans="1:19" ht="18" customHeight="1" x14ac:dyDescent="0.4">
      <c r="A7" s="4">
        <v>43820</v>
      </c>
      <c r="B7" s="5" t="s">
        <v>17</v>
      </c>
      <c r="C7" s="12" t="s">
        <v>18</v>
      </c>
      <c r="D7" s="13" t="s">
        <v>19</v>
      </c>
      <c r="E7" s="8" t="s">
        <v>18</v>
      </c>
      <c r="F7" s="9">
        <v>38</v>
      </c>
      <c r="G7" s="10" t="str" cm="1">
        <f t="array" ref="G7">IF(ROW(G7)-ROW(G$4)+1&gt;COUNT(I$1:I$40),"",INDEX(H:H,SMALL(I$1:I$40,1+ROW(G7)-ROW(G$4))))</f>
        <v/>
      </c>
      <c r="H7">
        <v>7</v>
      </c>
      <c r="I7" s="1" t="str">
        <f t="shared" si="0"/>
        <v/>
      </c>
      <c r="J7" s="1" t="str" cm="1">
        <f t="array" ref="J7">IF(ROW(G10)-ROW(G$4)+1&gt;COUNT(I$1:I$40),"",INDEX(H:H,SMALL(I$1:I$40,1+ROW(G10)-ROW(G$4))))</f>
        <v/>
      </c>
      <c r="P7" t="str">
        <f ca="1">IF(Summary!M8="","",IF(F7=Summary!M8,"Right","Wrong"))</f>
        <v>Right</v>
      </c>
      <c r="R7" s="103"/>
      <c r="S7" s="103"/>
    </row>
    <row r="8" spans="1:19" ht="18" customHeight="1" x14ac:dyDescent="0.4">
      <c r="A8" s="4">
        <v>43820</v>
      </c>
      <c r="B8" s="5" t="s">
        <v>20</v>
      </c>
      <c r="C8" s="12" t="s">
        <v>21</v>
      </c>
      <c r="D8" s="13" t="s">
        <v>22</v>
      </c>
      <c r="E8" s="8" t="s">
        <v>21</v>
      </c>
      <c r="F8" s="9">
        <v>19</v>
      </c>
      <c r="G8" s="10" t="str" cm="1">
        <f t="array" ref="G8">IF(ROW(G8)-ROW(G$4)+1&gt;COUNT(I$1:I$40),"",INDEX(H:H,SMALL(I$1:I$40,1+ROW(G8)-ROW(G$4))))</f>
        <v/>
      </c>
      <c r="H8">
        <v>8</v>
      </c>
      <c r="I8" s="1" t="str">
        <f t="shared" si="0"/>
        <v/>
      </c>
      <c r="J8" s="1" t="str" cm="1">
        <f t="array" ref="J8">IF(ROW(G11)-ROW(G$4)+1&gt;COUNT(I$1:I$40),"",INDEX(H:H,SMALL(I$1:I$40,1+ROW(G11)-ROW(G$4))))</f>
        <v/>
      </c>
      <c r="P8" t="str">
        <f ca="1">IF(Summary!M9="","",IF(F8=Summary!M9,"Right","Wrong"))</f>
        <v>Wrong</v>
      </c>
      <c r="R8" s="103"/>
      <c r="S8" s="103"/>
    </row>
    <row r="9" spans="1:19" ht="18" customHeight="1" x14ac:dyDescent="0.4">
      <c r="A9" s="4">
        <v>43820</v>
      </c>
      <c r="B9" s="5" t="s">
        <v>23</v>
      </c>
      <c r="C9" s="12" t="s">
        <v>24</v>
      </c>
      <c r="D9" s="13" t="s">
        <v>25</v>
      </c>
      <c r="E9" s="8" t="s">
        <v>24</v>
      </c>
      <c r="F9" s="9">
        <v>33</v>
      </c>
      <c r="G9" s="10" t="str" cm="1">
        <f t="array" ref="G9">IF(ROW(G9)-ROW(G$4)+1&gt;COUNT(I$1:I$40),"",INDEX(H:H,SMALL(I$1:I$40,1+ROW(G9)-ROW(G$4))))</f>
        <v/>
      </c>
      <c r="H9">
        <v>9</v>
      </c>
      <c r="I9" s="1" t="str">
        <f t="shared" si="0"/>
        <v/>
      </c>
      <c r="J9" s="1" t="str" cm="1">
        <f t="array" ref="J9">IF(ROW(G12)-ROW(G$4)+1&gt;COUNT(I$1:I$40),"",INDEX(H:H,SMALL(I$1:I$40,1+ROW(G12)-ROW(G$4))))</f>
        <v/>
      </c>
      <c r="P9" t="str">
        <f ca="1">IF(Summary!M10="","",IF(F9=Summary!M10,"Right","Wrong"))</f>
        <v>Wrong</v>
      </c>
    </row>
    <row r="10" spans="1:19" ht="18" customHeight="1" x14ac:dyDescent="0.4">
      <c r="A10" s="4">
        <v>43820</v>
      </c>
      <c r="B10" s="5" t="s">
        <v>26</v>
      </c>
      <c r="C10" s="12" t="s">
        <v>27</v>
      </c>
      <c r="D10" s="13" t="s">
        <v>28</v>
      </c>
      <c r="E10" s="8" t="s">
        <v>28</v>
      </c>
      <c r="F10" s="9">
        <v>16</v>
      </c>
      <c r="G10" s="10" t="str" cm="1">
        <f t="array" ref="G10">IF(ROW(G10)-ROW(G$4)+1&gt;COUNT(I$1:I$40),"",INDEX(H:H,SMALL(I$1:I$40,1+ROW(G10)-ROW(G$4))))</f>
        <v/>
      </c>
      <c r="H10">
        <v>10</v>
      </c>
      <c r="I10" s="1" t="str">
        <f t="shared" si="0"/>
        <v/>
      </c>
      <c r="J10" s="1" t="str" cm="1">
        <f t="array" ref="J10">IF(ROW(G13)-ROW(G$4)+1&gt;COUNT(I$1:I$40),"",INDEX(H:H,SMALL(I$1:I$40,1+ROW(G13)-ROW(G$4))))</f>
        <v/>
      </c>
      <c r="P10" t="str">
        <f ca="1">IF(Summary!M11="","",IF(F10=Summary!M11,"Right","Wrong"))</f>
        <v>Right</v>
      </c>
    </row>
    <row r="11" spans="1:19" ht="18" customHeight="1" x14ac:dyDescent="0.4">
      <c r="A11" s="4">
        <v>43820</v>
      </c>
      <c r="B11" s="5" t="s">
        <v>29</v>
      </c>
      <c r="C11" s="12" t="s">
        <v>30</v>
      </c>
      <c r="D11" s="13" t="s">
        <v>31</v>
      </c>
      <c r="E11" s="8" t="s">
        <v>31</v>
      </c>
      <c r="F11" s="9">
        <v>5</v>
      </c>
      <c r="G11" s="10" t="str" cm="1">
        <f t="array" ref="G11">IF(ROW(G11)-ROW(G$4)+1&gt;COUNT(I$1:I$40),"",INDEX(H:H,SMALL(I$1:I$40,1+ROW(G11)-ROW(G$4))))</f>
        <v/>
      </c>
      <c r="H11">
        <v>11</v>
      </c>
      <c r="I11" s="1" t="str">
        <f t="shared" si="0"/>
        <v/>
      </c>
      <c r="J11" s="1" t="str" cm="1">
        <f t="array" ref="J11">IF(ROW(G14)-ROW(G$4)+1&gt;COUNT(I$1:I$40),"",INDEX(H:H,SMALL(I$1:I$40,1+ROW(G14)-ROW(G$4))))</f>
        <v/>
      </c>
      <c r="P11" t="str">
        <f ca="1">IF(Summary!M12="","",IF(F11=Summary!M12,"Right","Wrong"))</f>
        <v>Wrong</v>
      </c>
    </row>
    <row r="12" spans="1:19" ht="18" customHeight="1" x14ac:dyDescent="0.4">
      <c r="A12" s="4">
        <v>43820</v>
      </c>
      <c r="B12" s="5" t="s">
        <v>32</v>
      </c>
      <c r="C12" s="12" t="s">
        <v>33</v>
      </c>
      <c r="D12" s="13" t="s">
        <v>34</v>
      </c>
      <c r="E12" s="8" t="s">
        <v>33</v>
      </c>
      <c r="F12" s="9">
        <v>37</v>
      </c>
      <c r="G12" s="10" t="str" cm="1">
        <f t="array" ref="G12">IF(ROW(G12)-ROW(G$4)+1&gt;COUNT(I$1:I$40),"",INDEX(H:H,SMALL(I$1:I$40,1+ROW(G12)-ROW(G$4))))</f>
        <v/>
      </c>
      <c r="H12">
        <v>12</v>
      </c>
      <c r="I12" s="1" t="str">
        <f t="shared" si="0"/>
        <v/>
      </c>
      <c r="J12" s="1" t="str" cm="1">
        <f t="array" ref="J12">IF(ROW(G15)-ROW(G$4)+1&gt;COUNT(I$1:I$40),"",INDEX(H:H,SMALL(I$1:I$40,1+ROW(G15)-ROW(G$4))))</f>
        <v/>
      </c>
      <c r="P12" t="str">
        <f ca="1">IF(Summary!M13="","",IF(F12=Summary!M13,"Right","Wrong"))</f>
        <v>Right</v>
      </c>
    </row>
    <row r="13" spans="1:19" ht="18" customHeight="1" x14ac:dyDescent="0.4">
      <c r="A13" s="4">
        <v>43822</v>
      </c>
      <c r="B13" s="5" t="s">
        <v>35</v>
      </c>
      <c r="C13" s="12" t="s">
        <v>36</v>
      </c>
      <c r="D13" s="13" t="s">
        <v>37</v>
      </c>
      <c r="E13" s="8" t="s">
        <v>36</v>
      </c>
      <c r="F13" s="9">
        <v>39</v>
      </c>
      <c r="G13" s="10" t="str" cm="1">
        <f t="array" ref="G13">IF(ROW(G13)-ROW(G$4)+1&gt;COUNT(I$1:I$40),"",INDEX(H:H,SMALL(I$1:I$40,1+ROW(G13)-ROW(G$4))))</f>
        <v/>
      </c>
      <c r="H13">
        <v>13</v>
      </c>
      <c r="I13" s="1" t="str">
        <f t="shared" si="0"/>
        <v/>
      </c>
      <c r="J13" s="1" t="str" cm="1">
        <f t="array" ref="J13">IF(ROW(G16)-ROW(G$4)+1&gt;COUNT(I$1:I$40),"",INDEX(H:H,SMALL(I$1:I$40,1+ROW(G16)-ROW(G$4))))</f>
        <v/>
      </c>
      <c r="P13" t="str">
        <f ca="1">IF(Summary!M14="","",IF(F13=Summary!M14,"Right","Wrong"))</f>
        <v>Right</v>
      </c>
    </row>
    <row r="14" spans="1:19" ht="18" customHeight="1" x14ac:dyDescent="0.4">
      <c r="A14" s="4">
        <v>43823</v>
      </c>
      <c r="B14" s="5" t="s">
        <v>38</v>
      </c>
      <c r="C14" s="12" t="s">
        <v>39</v>
      </c>
      <c r="D14" s="13" t="s">
        <v>40</v>
      </c>
      <c r="E14" s="8" t="s">
        <v>39</v>
      </c>
      <c r="F14" s="9">
        <v>7</v>
      </c>
      <c r="G14" s="10" t="str" cm="1">
        <f t="array" ref="G14">IF(ROW(G14)-ROW(G$4)+1&gt;COUNT(I$1:I$40),"",INDEX(H:H,SMALL(I$1:I$40,1+ROW(G14)-ROW(G$4))))</f>
        <v/>
      </c>
      <c r="H14">
        <v>14</v>
      </c>
      <c r="I14" s="1" t="str">
        <f t="shared" si="0"/>
        <v/>
      </c>
      <c r="J14" s="1" t="str" cm="1">
        <f t="array" ref="J14">IF(ROW(G17)-ROW(G$4)+1&gt;COUNT(I$1:I$40),"",INDEX(H:H,SMALL(I$1:I$40,1+ROW(G17)-ROW(G$4))))</f>
        <v/>
      </c>
      <c r="P14" t="str">
        <f ca="1">IF(Summary!M15="","",IF(F14=Summary!M15,"Right","Wrong"))</f>
        <v>Right</v>
      </c>
    </row>
    <row r="15" spans="1:19" ht="18" customHeight="1" x14ac:dyDescent="0.4">
      <c r="A15" s="4">
        <v>43825</v>
      </c>
      <c r="B15" s="5" t="s">
        <v>41</v>
      </c>
      <c r="C15" s="12" t="s">
        <v>42</v>
      </c>
      <c r="D15" s="13" t="s">
        <v>43</v>
      </c>
      <c r="E15" s="8" t="s">
        <v>43</v>
      </c>
      <c r="F15" s="9">
        <v>9</v>
      </c>
      <c r="G15" s="10" t="str" cm="1">
        <f t="array" ref="G15">IF(ROW(G15)-ROW(G$4)+1&gt;COUNT(I$1:I$40),"",INDEX(H:H,SMALL(I$1:I$40,1+ROW(G15)-ROW(G$4))))</f>
        <v/>
      </c>
      <c r="H15">
        <v>15</v>
      </c>
      <c r="I15" s="1" t="str">
        <f t="shared" si="0"/>
        <v/>
      </c>
      <c r="J15" s="1" t="str" cm="1">
        <f t="array" ref="J15">IF(ROW(G18)-ROW(G$4)+1&gt;COUNT(I$1:I$40),"",INDEX(H:H,SMALL(I$1:I$40,1+ROW(G18)-ROW(G$4))))</f>
        <v/>
      </c>
      <c r="P15" t="str">
        <f ca="1">IF(Summary!M16="","",IF(F15=Summary!M16,"Right","Wrong"))</f>
        <v>Right</v>
      </c>
    </row>
    <row r="16" spans="1:19" ht="18" customHeight="1" x14ac:dyDescent="0.4">
      <c r="A16" s="4">
        <v>43825</v>
      </c>
      <c r="B16" s="5" t="s">
        <v>44</v>
      </c>
      <c r="C16" s="12" t="s">
        <v>45</v>
      </c>
      <c r="D16" s="13" t="s">
        <v>46</v>
      </c>
      <c r="E16" s="8" t="s">
        <v>45</v>
      </c>
      <c r="F16" s="9">
        <v>35</v>
      </c>
      <c r="G16" s="10" t="str" cm="1">
        <f t="array" ref="G16">IF(ROW(G16)-ROW(G$4)+1&gt;COUNT(I$1:I$40),"",INDEX(H:H,SMALL(I$1:I$40,1+ROW(G16)-ROW(G$4))))</f>
        <v/>
      </c>
      <c r="H16">
        <v>16</v>
      </c>
      <c r="I16" s="1" t="str">
        <f t="shared" si="0"/>
        <v/>
      </c>
      <c r="J16" s="1" t="str" cm="1">
        <f t="array" ref="J16">IF(ROW(G19)-ROW(G$4)+1&gt;COUNT(I$1:I$40),"",INDEX(H:H,SMALL(I$1:I$40,1+ROW(G19)-ROW(G$4))))</f>
        <v/>
      </c>
      <c r="P16" t="str">
        <f ca="1">IF(Summary!M17="","",IF(F16=Summary!M17,"Right","Wrong"))</f>
        <v>Right</v>
      </c>
    </row>
    <row r="17" spans="1:16" ht="18" customHeight="1" x14ac:dyDescent="0.4">
      <c r="A17" s="4">
        <v>43826</v>
      </c>
      <c r="B17" s="5" t="s">
        <v>47</v>
      </c>
      <c r="C17" s="12" t="s">
        <v>48</v>
      </c>
      <c r="D17" s="13" t="s">
        <v>49</v>
      </c>
      <c r="E17" s="8" t="s">
        <v>49</v>
      </c>
      <c r="F17" s="9">
        <v>4</v>
      </c>
      <c r="G17" s="10" t="str" cm="1">
        <f t="array" ref="G17">IF(ROW(G17)-ROW(G$4)+1&gt;COUNT(I$1:I$40),"",INDEX(H:H,SMALL(I$1:I$40,1+ROW(G17)-ROW(G$4))))</f>
        <v/>
      </c>
      <c r="H17">
        <v>17</v>
      </c>
      <c r="I17" s="1" t="str">
        <f t="shared" si="0"/>
        <v/>
      </c>
      <c r="J17" s="1" t="str" cm="1">
        <f t="array" ref="J17">IF(ROW(G20)-ROW(G$4)+1&gt;COUNT(I$1:I$40),"",INDEX(H:H,SMALL(I$1:I$40,1+ROW(G20)-ROW(G$4))))</f>
        <v/>
      </c>
      <c r="P17" t="str">
        <f ca="1">IF(Summary!M18="","",IF(F17=Summary!M18,"Right","Wrong"))</f>
        <v>Wrong</v>
      </c>
    </row>
    <row r="18" spans="1:16" ht="18" customHeight="1" x14ac:dyDescent="0.4">
      <c r="A18" s="4">
        <v>43826</v>
      </c>
      <c r="B18" s="5" t="s">
        <v>50</v>
      </c>
      <c r="C18" s="12" t="s">
        <v>51</v>
      </c>
      <c r="D18" s="13" t="s">
        <v>52</v>
      </c>
      <c r="E18" s="8" t="s">
        <v>51</v>
      </c>
      <c r="F18" s="9">
        <v>21</v>
      </c>
      <c r="G18" s="10" t="str" cm="1">
        <f t="array" ref="G18">IF(ROW(G18)-ROW(G$4)+1&gt;COUNT(I$1:I$40),"",INDEX(H:H,SMALL(I$1:I$40,1+ROW(G18)-ROW(G$4))))</f>
        <v/>
      </c>
      <c r="H18">
        <v>18</v>
      </c>
      <c r="I18" s="1" t="str">
        <f t="shared" si="0"/>
        <v/>
      </c>
      <c r="J18" s="1" t="str" cm="1">
        <f t="array" ref="J18">IF(ROW(G21)-ROW(G$4)+1&gt;COUNT(I$1:I$40),"",INDEX(H:H,SMALL(I$1:I$40,1+ROW(G21)-ROW(G$4))))</f>
        <v/>
      </c>
      <c r="P18" t="str">
        <f ca="1">IF(Summary!M19="","",IF(F18=Summary!M19,"Right","Wrong"))</f>
        <v>Wrong</v>
      </c>
    </row>
    <row r="19" spans="1:16" ht="18" customHeight="1" x14ac:dyDescent="0.4">
      <c r="A19" s="4">
        <v>43826</v>
      </c>
      <c r="B19" s="5" t="s">
        <v>53</v>
      </c>
      <c r="C19" s="12" t="s">
        <v>54</v>
      </c>
      <c r="D19" s="13" t="s">
        <v>55</v>
      </c>
      <c r="E19" s="8" t="s">
        <v>54</v>
      </c>
      <c r="F19" s="9">
        <v>13</v>
      </c>
      <c r="G19" s="10" t="str" cm="1">
        <f t="array" ref="G19">IF(ROW(G19)-ROW(G$4)+1&gt;COUNT(I$1:I$40),"",INDEX(H:H,SMALL(I$1:I$40,1+ROW(G19)-ROW(G$4))))</f>
        <v/>
      </c>
      <c r="H19">
        <v>19</v>
      </c>
      <c r="I19" s="1" t="str">
        <f t="shared" si="0"/>
        <v/>
      </c>
      <c r="J19" s="1" t="str" cm="1">
        <f t="array" ref="J19">IF(ROW(G22)-ROW(G$4)+1&gt;COUNT(I$1:I$40),"",INDEX(H:H,SMALL(I$1:I$40,1+ROW(G22)-ROW(G$4))))</f>
        <v/>
      </c>
      <c r="P19" t="str">
        <f ca="1">IF(Summary!M20="","",IF(F19=Summary!M20,"Right","Wrong"))</f>
        <v>Wrong</v>
      </c>
    </row>
    <row r="20" spans="1:16" ht="18" customHeight="1" x14ac:dyDescent="0.4">
      <c r="A20" s="4">
        <v>43826</v>
      </c>
      <c r="B20" s="5" t="s">
        <v>56</v>
      </c>
      <c r="C20" s="12" t="s">
        <v>57</v>
      </c>
      <c r="D20" s="13" t="s">
        <v>58</v>
      </c>
      <c r="E20" s="8" t="s">
        <v>58</v>
      </c>
      <c r="F20" s="9">
        <v>6</v>
      </c>
      <c r="G20" s="10" t="str" cm="1">
        <f t="array" ref="G20">IF(ROW(G20)-ROW(G$4)+1&gt;COUNT(I$1:I$40),"",INDEX(H:H,SMALL(I$1:I$40,1+ROW(G20)-ROW(G$4))))</f>
        <v/>
      </c>
      <c r="H20">
        <v>20</v>
      </c>
      <c r="I20" s="1" t="str">
        <f t="shared" si="0"/>
        <v/>
      </c>
      <c r="J20" s="1" t="str" cm="1">
        <f t="array" ref="J20">IF(ROW(G23)-ROW(G$4)+1&gt;COUNT(I$1:I$40),"",INDEX(H:H,SMALL(I$1:I$40,1+ROW(G23)-ROW(G$4))))</f>
        <v/>
      </c>
      <c r="P20" t="str">
        <f ca="1">IF(Summary!M21="","",IF(F20=Summary!M21,"Right","Wrong"))</f>
        <v>Right</v>
      </c>
    </row>
    <row r="21" spans="1:16" ht="18" customHeight="1" x14ac:dyDescent="0.4">
      <c r="A21" s="4">
        <v>43826</v>
      </c>
      <c r="B21" s="5" t="s">
        <v>59</v>
      </c>
      <c r="C21" s="12" t="s">
        <v>60</v>
      </c>
      <c r="D21" s="13" t="s">
        <v>61</v>
      </c>
      <c r="E21" s="8" t="s">
        <v>60</v>
      </c>
      <c r="F21" s="9">
        <v>14</v>
      </c>
      <c r="G21" s="10" t="str" cm="1">
        <f t="array" ref="G21">IF(ROW(G21)-ROW(G$4)+1&gt;COUNT(I$1:I$40),"",INDEX(H:H,SMALL(I$1:I$40,1+ROW(G21)-ROW(G$4))))</f>
        <v/>
      </c>
      <c r="H21">
        <v>21</v>
      </c>
      <c r="I21" s="1" t="str">
        <f t="shared" si="0"/>
        <v/>
      </c>
      <c r="J21" s="1" t="str" cm="1">
        <f t="array" ref="J21">IF(ROW(G24)-ROW(G$4)+1&gt;COUNT(I$1:I$40),"",INDEX(H:H,SMALL(I$1:I$40,1+ROW(G24)-ROW(G$4))))</f>
        <v/>
      </c>
      <c r="P21" t="str">
        <f ca="1">IF(Summary!M22="","",IF(F21=Summary!M22,"Right","Wrong"))</f>
        <v>Right</v>
      </c>
    </row>
    <row r="22" spans="1:16" ht="18" customHeight="1" x14ac:dyDescent="0.4">
      <c r="A22" s="4">
        <v>43827</v>
      </c>
      <c r="B22" s="5" t="s">
        <v>62</v>
      </c>
      <c r="C22" s="12" t="s">
        <v>63</v>
      </c>
      <c r="D22" s="13" t="s">
        <v>64</v>
      </c>
      <c r="E22" s="8" t="s">
        <v>63</v>
      </c>
      <c r="F22" s="9">
        <v>26</v>
      </c>
      <c r="G22" s="10" t="str" cm="1">
        <f t="array" ref="G22">IF(ROW(G22)-ROW(G$4)+1&gt;COUNT(I$1:I$40),"",INDEX(H:H,SMALL(I$1:I$40,1+ROW(G22)-ROW(G$4))))</f>
        <v/>
      </c>
      <c r="H22">
        <v>22</v>
      </c>
      <c r="I22" s="1" t="str">
        <f t="shared" si="0"/>
        <v/>
      </c>
      <c r="J22" s="1" t="str" cm="1">
        <f t="array" ref="J22">IF(ROW(G25)-ROW(G$4)+1&gt;COUNT(I$1:I$40),"",INDEX(H:H,SMALL(I$1:I$40,1+ROW(G25)-ROW(G$4))))</f>
        <v/>
      </c>
      <c r="P22" t="str">
        <f ca="1">IF(Summary!M23="","",IF(F22=Summary!M23,"Right","Wrong"))</f>
        <v>Right</v>
      </c>
    </row>
    <row r="23" spans="1:16" ht="18" customHeight="1" x14ac:dyDescent="0.4">
      <c r="A23" s="4">
        <v>43827</v>
      </c>
      <c r="B23" s="5" t="s">
        <v>65</v>
      </c>
      <c r="C23" s="12" t="s">
        <v>66</v>
      </c>
      <c r="D23" s="13" t="s">
        <v>67</v>
      </c>
      <c r="E23" s="8" t="s">
        <v>66</v>
      </c>
      <c r="F23" s="9">
        <v>30</v>
      </c>
      <c r="G23" s="10" t="str" cm="1">
        <f t="array" ref="G23">IF(ROW(G23)-ROW(G$4)+1&gt;COUNT(I$1:I$40),"",INDEX(H:H,SMALL(I$1:I$40,1+ROW(G23)-ROW(G$4))))</f>
        <v/>
      </c>
      <c r="H23">
        <v>23</v>
      </c>
      <c r="I23" s="1" t="str">
        <f t="shared" si="0"/>
        <v/>
      </c>
      <c r="J23" s="1" t="str" cm="1">
        <f t="array" ref="J23">IF(ROW(G26)-ROW(G$4)+1&gt;COUNT(I$1:I$40),"",INDEX(H:H,SMALL(I$1:I$40,1+ROW(G26)-ROW(G$4))))</f>
        <v/>
      </c>
      <c r="P23" t="str">
        <f ca="1">IF(Summary!M24="","",IF(F23=Summary!M24,"Right","Wrong"))</f>
        <v>Right</v>
      </c>
    </row>
    <row r="24" spans="1:16" ht="18" customHeight="1" x14ac:dyDescent="0.4">
      <c r="A24" s="4">
        <v>43827</v>
      </c>
      <c r="B24" s="5" t="s">
        <v>68</v>
      </c>
      <c r="C24" s="12" t="s">
        <v>69</v>
      </c>
      <c r="D24" s="13" t="s">
        <v>70</v>
      </c>
      <c r="E24" s="8" t="s">
        <v>69</v>
      </c>
      <c r="F24" s="9">
        <v>40</v>
      </c>
      <c r="G24" s="10" t="str" cm="1">
        <f t="array" ref="G24">IF(ROW(G24)-ROW(G$4)+1&gt;COUNT(I$1:I$40),"",INDEX(H:H,SMALL(I$1:I$40,1+ROW(G24)-ROW(G$4))))</f>
        <v/>
      </c>
      <c r="H24">
        <v>24</v>
      </c>
      <c r="I24" s="1" t="str">
        <f t="shared" si="0"/>
        <v/>
      </c>
      <c r="J24" s="1" t="str" cm="1">
        <f t="array" ref="J24">IF(ROW(G27)-ROW(G$4)+1&gt;COUNT(I$1:I$40),"",INDEX(H:H,SMALL(I$1:I$40,1+ROW(G27)-ROW(G$4))))</f>
        <v/>
      </c>
      <c r="P24" t="str">
        <f ca="1">IF(Summary!M25="","",IF(F24=Summary!M25,"Right","Wrong"))</f>
        <v>Right</v>
      </c>
    </row>
    <row r="25" spans="1:16" ht="18" customHeight="1" x14ac:dyDescent="0.4">
      <c r="A25" s="4">
        <v>43827</v>
      </c>
      <c r="B25" s="5" t="s">
        <v>71</v>
      </c>
      <c r="C25" s="12" t="s">
        <v>72</v>
      </c>
      <c r="D25" s="13" t="s">
        <v>73</v>
      </c>
      <c r="E25" s="8" t="s">
        <v>73</v>
      </c>
      <c r="F25" s="9">
        <v>8</v>
      </c>
      <c r="G25" s="10" t="str" cm="1">
        <f t="array" ref="G25">IF(ROW(G25)-ROW(G$4)+1&gt;COUNT(I$1:I$40),"",INDEX(H:H,SMALL(I$1:I$40,1+ROW(G25)-ROW(G$4))))</f>
        <v/>
      </c>
      <c r="H25">
        <v>25</v>
      </c>
      <c r="I25" s="1" t="str">
        <f t="shared" si="0"/>
        <v/>
      </c>
      <c r="J25" s="1" t="str" cm="1">
        <f t="array" ref="J25">IF(ROW(G28)-ROW(G$4)+1&gt;COUNT(I$1:I$40),"",INDEX(H:H,SMALL(I$1:I$40,1+ROW(G28)-ROW(G$4))))</f>
        <v/>
      </c>
      <c r="P25" t="str">
        <f ca="1">IF(Summary!M26="","",IF(F25=Summary!M26,"Right","Wrong"))</f>
        <v>Right</v>
      </c>
    </row>
    <row r="26" spans="1:16" ht="18" customHeight="1" x14ac:dyDescent="0.4">
      <c r="A26" s="4">
        <v>43829</v>
      </c>
      <c r="B26" s="5" t="s">
        <v>74</v>
      </c>
      <c r="C26" s="12" t="s">
        <v>75</v>
      </c>
      <c r="D26" s="13" t="s">
        <v>76</v>
      </c>
      <c r="E26" s="8" t="s">
        <v>75</v>
      </c>
      <c r="F26" s="9">
        <v>24</v>
      </c>
      <c r="G26" s="10" t="str" cm="1">
        <f t="array" ref="G26">IF(ROW(G26)-ROW(G$4)+1&gt;COUNT(I$1:I$40),"",INDEX(H:H,SMALL(I$1:I$40,1+ROW(G26)-ROW(G$4))))</f>
        <v/>
      </c>
      <c r="H26">
        <v>26</v>
      </c>
      <c r="I26" s="1" t="str">
        <f t="shared" si="0"/>
        <v/>
      </c>
      <c r="J26" s="1" t="str" cm="1">
        <f t="array" ref="J26">IF(ROW(G29)-ROW(G$4)+1&gt;COUNT(I$1:I$40),"",INDEX(H:H,SMALL(I$1:I$40,1+ROW(G29)-ROW(G$4))))</f>
        <v/>
      </c>
      <c r="P26" t="str">
        <f ca="1">IF(Summary!M27="","",IF(F26=Summary!M27,"Right","Wrong"))</f>
        <v>Right</v>
      </c>
    </row>
    <row r="27" spans="1:16" ht="18" customHeight="1" x14ac:dyDescent="0.4">
      <c r="A27" s="4">
        <v>43829</v>
      </c>
      <c r="B27" s="5" t="s">
        <v>77</v>
      </c>
      <c r="C27" s="12" t="s">
        <v>78</v>
      </c>
      <c r="D27" s="13" t="s">
        <v>148</v>
      </c>
      <c r="E27" s="8" t="s">
        <v>148</v>
      </c>
      <c r="F27" s="9">
        <v>10</v>
      </c>
      <c r="G27" s="10" t="str" cm="1">
        <f t="array" ref="G27">IF(ROW(G27)-ROW(G$4)+1&gt;COUNT(I$1:I$40),"",INDEX(H:H,SMALL(I$1:I$40,1+ROW(G27)-ROW(G$4))))</f>
        <v/>
      </c>
      <c r="H27">
        <v>27</v>
      </c>
      <c r="I27" s="1" t="str">
        <f t="shared" si="0"/>
        <v/>
      </c>
      <c r="J27" s="1" t="str" cm="1">
        <f t="array" ref="J27">IF(ROW(G30)-ROW(G$4)+1&gt;COUNT(I$1:I$40),"",INDEX(H:H,SMALL(I$1:I$40,1+ROW(G30)-ROW(G$4))))</f>
        <v/>
      </c>
      <c r="P27" t="str">
        <f ca="1">IF(Summary!M28="","",IF(F27=Summary!M28,"Right","Wrong"))</f>
        <v>Right</v>
      </c>
    </row>
    <row r="28" spans="1:16" ht="18" customHeight="1" x14ac:dyDescent="0.4">
      <c r="A28" s="4">
        <v>43829</v>
      </c>
      <c r="B28" s="5" t="s">
        <v>80</v>
      </c>
      <c r="C28" s="12" t="s">
        <v>81</v>
      </c>
      <c r="D28" s="13" t="s">
        <v>82</v>
      </c>
      <c r="E28" s="8" t="s">
        <v>82</v>
      </c>
      <c r="F28" s="9">
        <v>17</v>
      </c>
      <c r="G28" s="10" t="str" cm="1">
        <f t="array" ref="G28">IF(ROW(G28)-ROW(G$4)+1&gt;COUNT(I$1:I$40),"",INDEX(H:H,SMALL(I$1:I$40,1+ROW(G28)-ROW(G$4))))</f>
        <v/>
      </c>
      <c r="H28">
        <v>28</v>
      </c>
      <c r="I28" s="1" t="str">
        <f t="shared" si="0"/>
        <v/>
      </c>
      <c r="J28" s="1" t="str" cm="1">
        <f t="array" ref="J28">IF(ROW(G31)-ROW(G$4)+1&gt;COUNT(I$1:I$40),"",INDEX(H:H,SMALL(I$1:I$40,1+ROW(G31)-ROW(G$4))))</f>
        <v/>
      </c>
      <c r="P28" t="str">
        <f ca="1">IF(Summary!M29="","",IF(F28=Summary!M29,"Right","Wrong"))</f>
        <v>Right</v>
      </c>
    </row>
    <row r="29" spans="1:16" ht="18" customHeight="1" x14ac:dyDescent="0.4">
      <c r="A29" s="4">
        <v>43829</v>
      </c>
      <c r="B29" s="5" t="s">
        <v>83</v>
      </c>
      <c r="C29" s="12" t="s">
        <v>84</v>
      </c>
      <c r="D29" s="13" t="s">
        <v>85</v>
      </c>
      <c r="E29" s="8" t="s">
        <v>84</v>
      </c>
      <c r="F29" s="9">
        <v>36</v>
      </c>
      <c r="G29" s="10" t="str" cm="1">
        <f t="array" ref="G29">IF(ROW(G29)-ROW(G$4)+1&gt;COUNT(I$1:I$40),"",INDEX(H:H,SMALL(I$1:I$40,1+ROW(G29)-ROW(G$4))))</f>
        <v/>
      </c>
      <c r="H29">
        <v>29</v>
      </c>
      <c r="I29" s="1" t="str">
        <f t="shared" si="0"/>
        <v/>
      </c>
      <c r="J29" s="1" t="str" cm="1">
        <f t="array" ref="J29">IF(ROW(G32)-ROW(G$4)+1&gt;COUNT(I$1:I$40),"",INDEX(H:H,SMALL(I$1:I$40,1+ROW(G32)-ROW(G$4))))</f>
        <v/>
      </c>
      <c r="P29" t="str">
        <f ca="1">IF(Summary!M30="","",IF(F29=Summary!M30,"Right","Wrong"))</f>
        <v>Right</v>
      </c>
    </row>
    <row r="30" spans="1:16" ht="18" customHeight="1" x14ac:dyDescent="0.4">
      <c r="A30" s="4">
        <v>43830</v>
      </c>
      <c r="B30" s="5" t="s">
        <v>86</v>
      </c>
      <c r="C30" s="12" t="s">
        <v>87</v>
      </c>
      <c r="D30" s="13" t="s">
        <v>88</v>
      </c>
      <c r="E30" s="8" t="s">
        <v>88</v>
      </c>
      <c r="F30" s="9">
        <v>11</v>
      </c>
      <c r="G30" s="10" t="str" cm="1">
        <f t="array" ref="G30">IF(ROW(G30)-ROW(G$4)+1&gt;COUNT(I$1:I$40),"",INDEX(H:H,SMALL(I$1:I$40,1+ROW(G30)-ROW(G$4))))</f>
        <v/>
      </c>
      <c r="H30">
        <v>30</v>
      </c>
      <c r="I30" s="1" t="str">
        <f t="shared" si="0"/>
        <v/>
      </c>
      <c r="J30" s="1" t="str" cm="1">
        <f t="array" ref="J30">IF(ROW(G33)-ROW(G$4)+1&gt;COUNT(I$1:I$40),"",INDEX(H:H,SMALL(I$1:I$40,1+ROW(G33)-ROW(G$4))))</f>
        <v/>
      </c>
      <c r="P30" t="str">
        <f ca="1">IF(Summary!M31="","",IF(F30=Summary!M31,"Right","Wrong"))</f>
        <v>Wrong</v>
      </c>
    </row>
    <row r="31" spans="1:16" ht="18" customHeight="1" x14ac:dyDescent="0.4">
      <c r="A31" s="4">
        <v>43830</v>
      </c>
      <c r="B31" s="5" t="s">
        <v>89</v>
      </c>
      <c r="C31" s="12" t="s">
        <v>90</v>
      </c>
      <c r="D31" s="13" t="s">
        <v>91</v>
      </c>
      <c r="E31" s="8" t="s">
        <v>91</v>
      </c>
      <c r="F31" s="9">
        <v>29</v>
      </c>
      <c r="G31" s="10" t="str" cm="1">
        <f t="array" ref="G31">IF(ROW(G31)-ROW(G$4)+1&gt;COUNT(I$1:I$40),"",INDEX(H:H,SMALL(I$1:I$40,1+ROW(G31)-ROW(G$4))))</f>
        <v/>
      </c>
      <c r="H31">
        <v>31</v>
      </c>
      <c r="I31" s="1" t="str">
        <f t="shared" si="0"/>
        <v/>
      </c>
      <c r="J31" s="1" t="str" cm="1">
        <f t="array" ref="J31">IF(ROW(G34)-ROW(G$4)+1&gt;COUNT(I$1:I$40),"",INDEX(H:H,SMALL(I$1:I$40,1+ROW(G34)-ROW(G$4))))</f>
        <v/>
      </c>
      <c r="P31" t="str">
        <f ca="1">IF(Summary!M32="","",IF(F31=Summary!M32,"Right","Wrong"))</f>
        <v>Right</v>
      </c>
    </row>
    <row r="32" spans="1:16" ht="18" customHeight="1" x14ac:dyDescent="0.4">
      <c r="A32" s="4">
        <v>43830</v>
      </c>
      <c r="B32" s="5" t="s">
        <v>92</v>
      </c>
      <c r="C32" s="12" t="s">
        <v>93</v>
      </c>
      <c r="D32" s="13" t="s">
        <v>94</v>
      </c>
      <c r="E32" s="8" t="s">
        <v>93</v>
      </c>
      <c r="F32" s="9">
        <v>18</v>
      </c>
      <c r="G32" s="10" t="str" cm="1">
        <f t="array" ref="G32">IF(ROW(G32)-ROW(G$4)+1&gt;COUNT(I$1:I$40),"",INDEX(H:H,SMALL(I$1:I$40,1+ROW(G32)-ROW(G$4))))</f>
        <v/>
      </c>
      <c r="H32">
        <v>32</v>
      </c>
      <c r="I32" s="1" t="str">
        <f t="shared" si="0"/>
        <v/>
      </c>
      <c r="J32" s="1" t="str" cm="1">
        <f t="array" ref="J32">IF(ROW(G35)-ROW(G$4)+1&gt;COUNT(I$1:I$40),"",INDEX(H:H,SMALL(I$1:I$40,1+ROW(G35)-ROW(G$4))))</f>
        <v/>
      </c>
      <c r="P32" t="str">
        <f ca="1">IF(Summary!M33="","",IF(F32=Summary!M33,"Right","Wrong"))</f>
        <v>Right</v>
      </c>
    </row>
    <row r="33" spans="1:16" ht="18" customHeight="1" x14ac:dyDescent="0.4">
      <c r="A33" s="4">
        <v>43830</v>
      </c>
      <c r="B33" s="5" t="s">
        <v>95</v>
      </c>
      <c r="C33" s="12" t="s">
        <v>96</v>
      </c>
      <c r="D33" s="13" t="s">
        <v>97</v>
      </c>
      <c r="E33" s="8" t="s">
        <v>96</v>
      </c>
      <c r="F33" s="9">
        <v>2</v>
      </c>
      <c r="G33" s="10" t="str" cm="1">
        <f t="array" ref="G33">IF(ROW(G33)-ROW(G$4)+1&gt;COUNT(I$1:I$40),"",INDEX(H:H,SMALL(I$1:I$40,1+ROW(G33)-ROW(G$4))))</f>
        <v/>
      </c>
      <c r="H33">
        <v>33</v>
      </c>
      <c r="I33" s="1" t="str">
        <f t="shared" si="0"/>
        <v/>
      </c>
      <c r="J33" s="1" t="str" cm="1">
        <f t="array" ref="J33">IF(ROW(G36)-ROW(G$4)+1&gt;COUNT(I$1:I$40),"",INDEX(H:H,SMALL(I$1:I$40,1+ROW(G36)-ROW(G$4))))</f>
        <v/>
      </c>
      <c r="P33" t="str">
        <f ca="1">IF(Summary!M34="","",IF(F33=Summary!M34,"Right","Wrong"))</f>
        <v>Wrong</v>
      </c>
    </row>
    <row r="34" spans="1:16" ht="18" customHeight="1" x14ac:dyDescent="0.4">
      <c r="A34" s="4">
        <v>43830</v>
      </c>
      <c r="B34" s="5" t="s">
        <v>98</v>
      </c>
      <c r="C34" s="12" t="s">
        <v>99</v>
      </c>
      <c r="D34" s="13" t="s">
        <v>100</v>
      </c>
      <c r="E34" s="8" t="s">
        <v>99</v>
      </c>
      <c r="F34" s="9">
        <v>32</v>
      </c>
      <c r="G34" s="10" t="str" cm="1">
        <f t="array" ref="G34">IF(ROW(G34)-ROW(G$4)+1&gt;COUNT(I$1:I$40),"",INDEX(H:H,SMALL(I$1:I$40,1+ROW(G34)-ROW(G$4))))</f>
        <v/>
      </c>
      <c r="H34">
        <v>34</v>
      </c>
      <c r="I34" s="1" t="str">
        <f t="shared" si="0"/>
        <v/>
      </c>
      <c r="J34" s="1" t="str" cm="1">
        <f t="array" ref="J34">IF(ROW(G37)-ROW(G$4)+1&gt;COUNT(I$1:I$40),"",INDEX(H:H,SMALL(I$1:I$40,1+ROW(G37)-ROW(G$4))))</f>
        <v/>
      </c>
      <c r="P34" t="str">
        <f ca="1">IF(Summary!M35="","",IF(F34=Summary!M35,"Right","Wrong"))</f>
        <v>Wrong</v>
      </c>
    </row>
    <row r="35" spans="1:16" ht="18" customHeight="1" x14ac:dyDescent="0.4">
      <c r="A35" s="4">
        <v>43466</v>
      </c>
      <c r="B35" s="5" t="s">
        <v>101</v>
      </c>
      <c r="C35" s="12" t="s">
        <v>102</v>
      </c>
      <c r="D35" s="13" t="s">
        <v>103</v>
      </c>
      <c r="E35" s="8" t="s">
        <v>102</v>
      </c>
      <c r="F35" s="9">
        <v>23</v>
      </c>
      <c r="G35" s="10" t="str" cm="1">
        <f t="array" ref="G35">IF(ROW(G35)-ROW(G$4)+1&gt;COUNT(I$1:I$40),"",INDEX(H:H,SMALL(I$1:I$40,1+ROW(G35)-ROW(G$4))))</f>
        <v/>
      </c>
      <c r="H35">
        <v>35</v>
      </c>
      <c r="I35" s="1" t="str">
        <f t="shared" si="0"/>
        <v/>
      </c>
      <c r="J35" s="1" t="str" cm="1">
        <f t="array" ref="J35">IF(ROW(G38)-ROW(G$4)+1&gt;COUNT(I$1:I$40),"",INDEX(H:H,SMALL(I$1:I$40,1+ROW(G38)-ROW(G$4))))</f>
        <v/>
      </c>
      <c r="P35" t="str">
        <f ca="1">IF(Summary!M36="","",IF(F35=Summary!M36,"Right","Wrong"))</f>
        <v>Right</v>
      </c>
    </row>
    <row r="36" spans="1:16" ht="18" customHeight="1" x14ac:dyDescent="0.4">
      <c r="A36" s="4">
        <v>43466</v>
      </c>
      <c r="B36" s="5" t="s">
        <v>104</v>
      </c>
      <c r="C36" s="12" t="s">
        <v>105</v>
      </c>
      <c r="D36" s="13" t="s">
        <v>106</v>
      </c>
      <c r="E36" s="8" t="s">
        <v>106</v>
      </c>
      <c r="F36" s="9">
        <v>22</v>
      </c>
      <c r="G36" s="10" t="str" cm="1">
        <f t="array" ref="G36">IF(ROW(G36)-ROW(G$4)+1&gt;COUNT(I$1:I$40),"",INDEX(H:H,SMALL(I$1:I$40,1+ROW(G36)-ROW(G$4))))</f>
        <v/>
      </c>
      <c r="H36">
        <v>36</v>
      </c>
      <c r="I36" s="1" t="str">
        <f t="shared" si="0"/>
        <v/>
      </c>
      <c r="J36" s="1" t="str" cm="1">
        <f t="array" ref="J36">IF(ROW(G39)-ROW(G$4)+1&gt;COUNT(I$1:I$40),"",INDEX(H:H,SMALL(I$1:I$40,1+ROW(G39)-ROW(G$4))))</f>
        <v/>
      </c>
      <c r="P36" t="str">
        <f ca="1">IF(Summary!M37="","",IF(F36=Summary!M37,"Right","Wrong"))</f>
        <v>Right</v>
      </c>
    </row>
    <row r="37" spans="1:16" ht="18" customHeight="1" x14ac:dyDescent="0.4">
      <c r="A37" s="4">
        <v>43466</v>
      </c>
      <c r="B37" s="5" t="s">
        <v>107</v>
      </c>
      <c r="C37" s="12" t="s">
        <v>108</v>
      </c>
      <c r="D37" s="13" t="s">
        <v>109</v>
      </c>
      <c r="E37" s="8" t="s">
        <v>109</v>
      </c>
      <c r="F37" s="9">
        <v>3</v>
      </c>
      <c r="G37" s="10" t="str" cm="1">
        <f t="array" ref="G37">IF(ROW(G37)-ROW(G$4)+1&gt;COUNT(I$1:I$40),"",INDEX(H:H,SMALL(I$1:I$40,1+ROW(G37)-ROW(G$4))))</f>
        <v/>
      </c>
      <c r="H37">
        <v>37</v>
      </c>
      <c r="I37" s="1" t="str">
        <f t="shared" si="0"/>
        <v/>
      </c>
      <c r="J37" s="1" t="str" cm="1">
        <f t="array" ref="J37">IF(ROW(G40)-ROW(G$4)+1&gt;COUNT(I$1:I$40),"",INDEX(H:H,SMALL(I$1:I$40,1+ROW(G40)-ROW(G$4))))</f>
        <v/>
      </c>
      <c r="P37" t="str">
        <f ca="1">IF(Summary!M38="","",IF(F37=Summary!M38,"Right","Wrong"))</f>
        <v>Wrong</v>
      </c>
    </row>
    <row r="38" spans="1:16" ht="18" customHeight="1" x14ac:dyDescent="0.4">
      <c r="A38" s="4">
        <v>43466</v>
      </c>
      <c r="B38" s="5" t="s">
        <v>110</v>
      </c>
      <c r="C38" s="12" t="s">
        <v>111</v>
      </c>
      <c r="D38" s="13" t="s">
        <v>112</v>
      </c>
      <c r="E38" s="8" t="s">
        <v>111</v>
      </c>
      <c r="F38" s="9">
        <v>20</v>
      </c>
      <c r="G38" s="10" t="str" cm="1">
        <f t="array" ref="G38">IF(ROW(G38)-ROW(G$4)+1&gt;COUNT(I$1:I$40),"",INDEX(H:H,SMALL(I$1:I$40,1+ROW(G38)-ROW(G$4))))</f>
        <v/>
      </c>
      <c r="H38">
        <v>38</v>
      </c>
      <c r="I38" s="1" t="str">
        <f t="shared" si="0"/>
        <v/>
      </c>
      <c r="J38" s="1" t="str" cm="1">
        <f t="array" ref="J38">IF(ROW(G41)-ROW(G$4)+1&gt;COUNT(I$1:I$40),"",INDEX(H:H,SMALL(I$1:I$40,1+ROW(G41)-ROW(G$4))))</f>
        <v/>
      </c>
      <c r="P38" t="str">
        <f ca="1">IF(Summary!M39="","",IF(F38=Summary!M39,"Right","Wrong"))</f>
        <v>Right</v>
      </c>
    </row>
    <row r="39" spans="1:16" ht="18" customHeight="1" x14ac:dyDescent="0.4">
      <c r="A39" s="4">
        <v>43467</v>
      </c>
      <c r="B39" s="5" t="s">
        <v>113</v>
      </c>
      <c r="C39" s="12" t="s">
        <v>114</v>
      </c>
      <c r="D39" s="13" t="s">
        <v>115</v>
      </c>
      <c r="E39" s="8" t="s">
        <v>115</v>
      </c>
      <c r="F39" s="9">
        <v>34</v>
      </c>
      <c r="G39" s="10" t="str" cm="1">
        <f t="array" ref="G39">IF(ROW(G39)-ROW(G$4)+1&gt;COUNT(I$1:I$40),"",INDEX(H:H,SMALL(I$1:I$40,1+ROW(G39)-ROW(G$4))))</f>
        <v/>
      </c>
      <c r="H39">
        <v>39</v>
      </c>
      <c r="I39" s="1" t="str">
        <f t="shared" si="0"/>
        <v/>
      </c>
      <c r="J39" s="1" t="str" cm="1">
        <f t="array" ref="J39">IF(ROW(G42)-ROW(G$4)+1&gt;COUNT(I$1:I$40),"",INDEX(H:H,SMALL(I$1:I$40,1+ROW(G42)-ROW(G$4))))</f>
        <v/>
      </c>
      <c r="P39" t="str">
        <f ca="1">IF(Summary!M40="","",IF(F39=Summary!M40,"Right","Wrong"))</f>
        <v>Right</v>
      </c>
    </row>
    <row r="40" spans="1:16" ht="18" customHeight="1" x14ac:dyDescent="0.4">
      <c r="A40" s="4">
        <v>43467</v>
      </c>
      <c r="B40" s="5" t="s">
        <v>116</v>
      </c>
      <c r="C40" s="12" t="s">
        <v>117</v>
      </c>
      <c r="D40" s="13" t="s">
        <v>118</v>
      </c>
      <c r="E40" s="8" t="s">
        <v>117</v>
      </c>
      <c r="F40" s="9">
        <v>15</v>
      </c>
      <c r="G40" s="10" t="str" cm="1">
        <f t="array" ref="G40">IF(ROW(G40)-ROW(G$4)+1&gt;COUNT(I$1:I$40),"",INDEX(H:H,SMALL(I$1:I$40,1+ROW(G40)-ROW(G$4))))</f>
        <v/>
      </c>
      <c r="H40">
        <v>40</v>
      </c>
      <c r="I40" s="1" t="str">
        <f t="shared" si="0"/>
        <v/>
      </c>
      <c r="J40" s="1" t="str" cm="1">
        <f t="array" ref="J40">IF(ROW(G43)-ROW(G$4)+1&gt;COUNT(I$1:I$40),"",INDEX(H:H,SMALL(I$1:I$40,1+ROW(G43)-ROW(G$4))))</f>
        <v/>
      </c>
      <c r="P40" t="str">
        <f ca="1">IF(Summary!M41="","",IF(F40=Summary!M41,"Right","Wrong"))</f>
        <v>Right</v>
      </c>
    </row>
    <row r="41" spans="1:16" ht="18" customHeight="1" x14ac:dyDescent="0.4">
      <c r="A41" s="4">
        <v>43468</v>
      </c>
      <c r="B41" s="5" t="s">
        <v>119</v>
      </c>
      <c r="C41" s="12" t="s">
        <v>120</v>
      </c>
      <c r="D41" s="13" t="s">
        <v>121</v>
      </c>
      <c r="E41" s="8" t="s">
        <v>121</v>
      </c>
      <c r="F41" s="9">
        <v>28</v>
      </c>
      <c r="G41" s="10" t="str" cm="1">
        <f t="array" ref="G41">IF(ROW(G41)-ROW(G$4)+1&gt;COUNT(I$1:I$40),"",INDEX(H:H,SMALL(I$1:I$40,1+ROW(G41)-ROW(G$4))))</f>
        <v/>
      </c>
      <c r="I41" s="1"/>
      <c r="J41" s="1" t="str" cm="1">
        <f t="array" ref="J41">IF(ROW(G44)-ROW(G$4)+1&gt;COUNT(I$1:I$40),"",INDEX(H:H,SMALL(I$1:I$40,1+ROW(G44)-ROW(G$4))))</f>
        <v/>
      </c>
      <c r="P41" t="str">
        <f ca="1">IF(Summary!M42="","",IF(F41=Summary!M42,"Right","Wrong"))</f>
        <v>Wrong</v>
      </c>
    </row>
    <row r="42" spans="1:16" ht="18" customHeight="1" x14ac:dyDescent="0.4">
      <c r="A42" s="4">
        <v>43469</v>
      </c>
      <c r="B42" s="5" t="s">
        <v>122</v>
      </c>
      <c r="C42" s="12" t="s">
        <v>123</v>
      </c>
      <c r="D42" s="13" t="s">
        <v>124</v>
      </c>
      <c r="E42" s="8" t="s">
        <v>123</v>
      </c>
      <c r="F42" s="9">
        <v>31</v>
      </c>
      <c r="G42" s="10" t="str" cm="1">
        <f t="array" ref="G42">IF(ROW(G42)-ROW(G$4)+1&gt;COUNT(I$1:I$40),"",INDEX(H:H,SMALL(I$1:I$40,1+ROW(G42)-ROW(G$4))))</f>
        <v/>
      </c>
      <c r="H42" s="14"/>
      <c r="P42" t="str">
        <f ca="1">IF(Summary!M43="","",IF(F42=Summary!M43,"Right","Wrong"))</f>
        <v>Right</v>
      </c>
    </row>
    <row r="43" spans="1:16" ht="18" customHeight="1" thickBot="1" x14ac:dyDescent="0.45">
      <c r="A43" s="15">
        <v>43471</v>
      </c>
      <c r="B43" s="16" t="s">
        <v>125</v>
      </c>
      <c r="C43" s="17" t="s">
        <v>126</v>
      </c>
      <c r="D43" s="18" t="s">
        <v>127</v>
      </c>
      <c r="E43" s="19" t="s">
        <v>126</v>
      </c>
      <c r="F43" s="20">
        <v>25</v>
      </c>
      <c r="G43" s="21" t="str" cm="1">
        <f t="array" ref="G43">IF(ROW(G43)-ROW(G$4)+1&gt;COUNT(I$1:I$40),"",INDEX(H:H,SMALL(I$1:I$40,1+ROW(G43)-ROW(G$4))))</f>
        <v/>
      </c>
      <c r="H43" s="14"/>
      <c r="P43" t="str">
        <f ca="1">IF(Summary!M44="","",IF(F43=Summary!M44,"Right","Wrong"))</f>
        <v>Right</v>
      </c>
    </row>
    <row r="44" spans="1:16" ht="18" customHeight="1" x14ac:dyDescent="0.4">
      <c r="A44" s="22"/>
      <c r="B44" s="104" t="s">
        <v>128</v>
      </c>
      <c r="C44" s="104"/>
      <c r="D44" s="104"/>
      <c r="E44" s="23"/>
      <c r="F44" s="24"/>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29" priority="4">
      <formula>LEN(TRIM(B1))=0</formula>
    </cfRule>
  </conditionalFormatting>
  <conditionalFormatting sqref="F4:F44">
    <cfRule type="duplicateValues" dxfId="28" priority="3"/>
  </conditionalFormatting>
  <conditionalFormatting sqref="P4:P43">
    <cfRule type="cellIs" dxfId="27" priority="1" operator="equal">
      <formula>"Wrong"</formula>
    </cfRule>
    <cfRule type="cellIs" dxfId="26" priority="2" operator="equal">
      <formula>"Right"</formula>
    </cfRule>
  </conditionalFormatting>
  <dataValidations count="3">
    <dataValidation type="list" allowBlank="1" showInputMessage="1" sqref="F4:F43" xr:uid="{0F692E18-B7A0-4832-89FE-DC55DE8F1FC2}">
      <formula1>Confidence_Count</formula1>
    </dataValidation>
    <dataValidation type="list" errorStyle="warning" allowBlank="1" showInputMessage="1" sqref="E4:E43" xr:uid="{01BB8AAC-C8B9-4114-B9C8-E642158A0D62}">
      <formula1>$C4:$D4</formula1>
    </dataValidation>
    <dataValidation type="list" allowBlank="1" showInputMessage="1" showErrorMessage="1" sqref="E44" xr:uid="{E983757B-EE1C-457C-B2AE-5D08ACFC7AFB}">
      <formula1>"LSU,Ohio State,Clemson,Oklahoma"</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43B82-E20F-43B2-905A-77548FCEA60F}">
  <sheetPr codeName="Sheet16"/>
  <dimension ref="A1:S44"/>
  <sheetViews>
    <sheetView showGridLines="0" workbookViewId="0">
      <selection sqref="A1:A2"/>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ht="14.5" customHeight="1" x14ac:dyDescent="0.35">
      <c r="A1" s="105" t="s">
        <v>0</v>
      </c>
      <c r="B1" s="105" t="str">
        <f>IF(ISBLANK([5]Instructions!G3),"",[5]Instructions!G3)</f>
        <v xml:space="preserve">Nathan </v>
      </c>
      <c r="F1" s="107" t="s">
        <v>1</v>
      </c>
      <c r="G1" s="105" t="str">
        <f>IF(ISBLANK([5]Instructions!G4),"",[5]Instructions!G4)</f>
        <v>Yes</v>
      </c>
      <c r="H1">
        <v>1</v>
      </c>
      <c r="I1" s="1" t="str">
        <f t="shared" ref="I1:I40" si="0">IF(COUNTIF($F$4:$F$43,H1)&gt;=1,"",ROW())</f>
        <v/>
      </c>
      <c r="J1" s="1" t="str" cm="1">
        <f t="array" ref="J1">IF(ROW(G4)-ROW(G$4)+1&gt;COUNT(I$1:I$40),"",INDEX(H:H,SMALL(I$1:I$40,1+ROW(G4)-ROW(G$4))))</f>
        <v/>
      </c>
    </row>
    <row r="2" spans="1:19" ht="15" customHeight="1"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cm="1">
        <f t="array" ref="J3">IF(ROW(G6)-ROW(G$4)+1&gt;COUNT(I$1:I$40),"",INDEX(H:H,SMALL(I$1:I$40,1+ROW(G6)-ROW(G$4))))</f>
        <v/>
      </c>
      <c r="P3" t="str">
        <f ca="1">_xlfn.CONCAT(COUNTIF(P4:P43,"Right")&amp;"/"&amp;(COUNTIF(P4:P43,"Right")+COUNTIF(P4:P43,"Wrong")))</f>
        <v>25/40</v>
      </c>
    </row>
    <row r="4" spans="1:19" ht="18" customHeight="1" thickTop="1" x14ac:dyDescent="0.4">
      <c r="A4" s="4">
        <v>43819</v>
      </c>
      <c r="B4" s="5" t="s">
        <v>8</v>
      </c>
      <c r="C4" s="6" t="s">
        <v>9</v>
      </c>
      <c r="D4" s="7" t="s">
        <v>10</v>
      </c>
      <c r="E4" s="8" t="s">
        <v>9</v>
      </c>
      <c r="F4" s="9">
        <v>3</v>
      </c>
      <c r="G4" s="10" t="str" cm="1">
        <f t="array" ref="G4">IF(ROW(G4)-ROW(G$4)+1&gt;COUNT(I$1:I$40),"",INDEX(H:H,SMALL(I$1:I$40,1+ROW(G4)-ROW(G$4))))</f>
        <v/>
      </c>
      <c r="H4">
        <v>4</v>
      </c>
      <c r="I4" s="1" t="str">
        <f t="shared" si="0"/>
        <v/>
      </c>
      <c r="J4" s="1" t="str" cm="1">
        <f t="array" ref="J4">IF(ROW(G7)-ROW(G$4)+1&gt;COUNT(I$1:I$40),"",INDEX(H:H,SMALL(I$1:I$40,1+ROW(G7)-ROW(G$4))))</f>
        <v/>
      </c>
      <c r="N4" s="11"/>
      <c r="P4" t="str">
        <f ca="1">IF(Summary!N5="","",IF(F4=Summary!N5,"Right","Wrong"))</f>
        <v>Right</v>
      </c>
    </row>
    <row r="5" spans="1:19" ht="18" customHeight="1" x14ac:dyDescent="0.4">
      <c r="A5" s="4">
        <v>43819</v>
      </c>
      <c r="B5" s="5" t="s">
        <v>11</v>
      </c>
      <c r="C5" s="12" t="s">
        <v>12</v>
      </c>
      <c r="D5" s="13" t="s">
        <v>13</v>
      </c>
      <c r="E5" s="8" t="s">
        <v>12</v>
      </c>
      <c r="F5" s="9">
        <v>15</v>
      </c>
      <c r="G5" s="10" t="str" cm="1">
        <f t="array" ref="G5">IF(ROW(G5)-ROW(G$4)+1&gt;COUNT(I$1:I$40),"",INDEX(H:H,SMALL(I$1:I$40,1+ROW(G5)-ROW(G$4))))</f>
        <v/>
      </c>
      <c r="H5">
        <v>5</v>
      </c>
      <c r="I5" s="1" t="str">
        <f t="shared" si="0"/>
        <v/>
      </c>
      <c r="J5" s="1" t="str" cm="1">
        <f t="array" ref="J5">IF(ROW(G8)-ROW(G$4)+1&gt;COUNT(I$1:I$40),"",INDEX(H:H,SMALL(I$1:I$40,1+ROW(G8)-ROW(G$4))))</f>
        <v/>
      </c>
      <c r="P5" t="str">
        <f ca="1">IF(Summary!N6="","",IF(F5=Summary!N6,"Right","Wrong"))</f>
        <v>Wrong</v>
      </c>
    </row>
    <row r="6" spans="1:19" ht="18" customHeight="1" x14ac:dyDescent="0.4">
      <c r="A6" s="4">
        <v>43820</v>
      </c>
      <c r="B6" s="5" t="s">
        <v>14</v>
      </c>
      <c r="C6" s="12" t="s">
        <v>15</v>
      </c>
      <c r="D6" s="13" t="s">
        <v>16</v>
      </c>
      <c r="E6" s="8" t="s">
        <v>16</v>
      </c>
      <c r="F6" s="9">
        <v>2</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IF(Summary!N7="","",IF(F6=Summary!N7,"Right","Wrong"))</f>
        <v>Right</v>
      </c>
    </row>
    <row r="7" spans="1:19" ht="18" customHeight="1" x14ac:dyDescent="0.4">
      <c r="A7" s="4">
        <v>43820</v>
      </c>
      <c r="B7" s="5" t="s">
        <v>17</v>
      </c>
      <c r="C7" s="12" t="s">
        <v>18</v>
      </c>
      <c r="D7" s="13" t="s">
        <v>19</v>
      </c>
      <c r="E7" s="8" t="s">
        <v>19</v>
      </c>
      <c r="F7" s="9">
        <v>5</v>
      </c>
      <c r="G7" s="10" t="str" cm="1">
        <f t="array" ref="G7">IF(ROW(G7)-ROW(G$4)+1&gt;COUNT(I$1:I$40),"",INDEX(H:H,SMALL(I$1:I$40,1+ROW(G7)-ROW(G$4))))</f>
        <v/>
      </c>
      <c r="H7">
        <v>7</v>
      </c>
      <c r="I7" s="1" t="str">
        <f t="shared" si="0"/>
        <v/>
      </c>
      <c r="J7" s="1" t="str" cm="1">
        <f t="array" ref="J7">IF(ROW(G10)-ROW(G$4)+1&gt;COUNT(I$1:I$40),"",INDEX(H:H,SMALL(I$1:I$40,1+ROW(G10)-ROW(G$4))))</f>
        <v/>
      </c>
      <c r="P7" t="str">
        <f ca="1">IF(Summary!N8="","",IF(F7=Summary!N8,"Right","Wrong"))</f>
        <v>Wrong</v>
      </c>
      <c r="R7" s="103"/>
      <c r="S7" s="103"/>
    </row>
    <row r="8" spans="1:19" ht="18" customHeight="1" x14ac:dyDescent="0.4">
      <c r="A8" s="4">
        <v>43820</v>
      </c>
      <c r="B8" s="5" t="s">
        <v>20</v>
      </c>
      <c r="C8" s="12" t="s">
        <v>21</v>
      </c>
      <c r="D8" s="13" t="s">
        <v>22</v>
      </c>
      <c r="E8" s="8" t="s">
        <v>21</v>
      </c>
      <c r="F8" s="9">
        <v>7</v>
      </c>
      <c r="G8" s="10" t="str" cm="1">
        <f t="array" ref="G8">IF(ROW(G8)-ROW(G$4)+1&gt;COUNT(I$1:I$40),"",INDEX(H:H,SMALL(I$1:I$40,1+ROW(G8)-ROW(G$4))))</f>
        <v/>
      </c>
      <c r="H8">
        <v>8</v>
      </c>
      <c r="I8" s="1" t="str">
        <f t="shared" si="0"/>
        <v/>
      </c>
      <c r="J8" s="1" t="str" cm="1">
        <f t="array" ref="J8">IF(ROW(G11)-ROW(G$4)+1&gt;COUNT(I$1:I$40),"",INDEX(H:H,SMALL(I$1:I$40,1+ROW(G11)-ROW(G$4))))</f>
        <v/>
      </c>
      <c r="P8" t="str">
        <f ca="1">IF(Summary!N9="","",IF(F8=Summary!N9,"Right","Wrong"))</f>
        <v>Wrong</v>
      </c>
      <c r="R8" s="103"/>
      <c r="S8" s="103"/>
    </row>
    <row r="9" spans="1:19" ht="18" customHeight="1" x14ac:dyDescent="0.4">
      <c r="A9" s="4">
        <v>43820</v>
      </c>
      <c r="B9" s="5" t="s">
        <v>23</v>
      </c>
      <c r="C9" s="12" t="s">
        <v>24</v>
      </c>
      <c r="D9" s="13" t="s">
        <v>25</v>
      </c>
      <c r="E9" s="8" t="s">
        <v>24</v>
      </c>
      <c r="F9" s="9">
        <v>20</v>
      </c>
      <c r="G9" s="10" t="str" cm="1">
        <f t="array" ref="G9">IF(ROW(G9)-ROW(G$4)+1&gt;COUNT(I$1:I$40),"",INDEX(H:H,SMALL(I$1:I$40,1+ROW(G9)-ROW(G$4))))</f>
        <v/>
      </c>
      <c r="H9">
        <v>9</v>
      </c>
      <c r="I9" s="1" t="str">
        <f t="shared" si="0"/>
        <v/>
      </c>
      <c r="J9" s="1" t="str" cm="1">
        <f t="array" ref="J9">IF(ROW(G12)-ROW(G$4)+1&gt;COUNT(I$1:I$40),"",INDEX(H:H,SMALL(I$1:I$40,1+ROW(G12)-ROW(G$4))))</f>
        <v/>
      </c>
      <c r="P9" t="str">
        <f ca="1">IF(Summary!N10="","",IF(F9=Summary!N10,"Right","Wrong"))</f>
        <v>Wrong</v>
      </c>
    </row>
    <row r="10" spans="1:19" ht="18" customHeight="1" x14ac:dyDescent="0.4">
      <c r="A10" s="4">
        <v>43820</v>
      </c>
      <c r="B10" s="5" t="s">
        <v>26</v>
      </c>
      <c r="C10" s="12" t="s">
        <v>27</v>
      </c>
      <c r="D10" s="13" t="s">
        <v>28</v>
      </c>
      <c r="E10" s="8" t="s">
        <v>28</v>
      </c>
      <c r="F10" s="9">
        <v>10</v>
      </c>
      <c r="G10" s="10" t="str" cm="1">
        <f t="array" ref="G10">IF(ROW(G10)-ROW(G$4)+1&gt;COUNT(I$1:I$40),"",INDEX(H:H,SMALL(I$1:I$40,1+ROW(G10)-ROW(G$4))))</f>
        <v/>
      </c>
      <c r="H10">
        <v>10</v>
      </c>
      <c r="I10" s="1" t="str">
        <f t="shared" si="0"/>
        <v/>
      </c>
      <c r="J10" s="1" t="str" cm="1">
        <f t="array" ref="J10">IF(ROW(G13)-ROW(G$4)+1&gt;COUNT(I$1:I$40),"",INDEX(H:H,SMALL(I$1:I$40,1+ROW(G13)-ROW(G$4))))</f>
        <v/>
      </c>
      <c r="P10" t="str">
        <f ca="1">IF(Summary!N11="","",IF(F10=Summary!N11,"Right","Wrong"))</f>
        <v>Right</v>
      </c>
    </row>
    <row r="11" spans="1:19" ht="18" customHeight="1" x14ac:dyDescent="0.4">
      <c r="A11" s="4">
        <v>43820</v>
      </c>
      <c r="B11" s="5" t="s">
        <v>29</v>
      </c>
      <c r="C11" s="12" t="s">
        <v>30</v>
      </c>
      <c r="D11" s="13" t="s">
        <v>31</v>
      </c>
      <c r="E11" s="8" t="s">
        <v>31</v>
      </c>
      <c r="F11" s="9">
        <v>9</v>
      </c>
      <c r="G11" s="10" t="str" cm="1">
        <f t="array" ref="G11">IF(ROW(G11)-ROW(G$4)+1&gt;COUNT(I$1:I$40),"",INDEX(H:H,SMALL(I$1:I$40,1+ROW(G11)-ROW(G$4))))</f>
        <v/>
      </c>
      <c r="H11">
        <v>11</v>
      </c>
      <c r="I11" s="1" t="str">
        <f t="shared" si="0"/>
        <v/>
      </c>
      <c r="J11" s="1" t="str" cm="1">
        <f t="array" ref="J11">IF(ROW(G14)-ROW(G$4)+1&gt;COUNT(I$1:I$40),"",INDEX(H:H,SMALL(I$1:I$40,1+ROW(G14)-ROW(G$4))))</f>
        <v/>
      </c>
      <c r="P11" t="str">
        <f ca="1">IF(Summary!N12="","",IF(F11=Summary!N12,"Right","Wrong"))</f>
        <v>Wrong</v>
      </c>
    </row>
    <row r="12" spans="1:19" ht="18" customHeight="1" x14ac:dyDescent="0.4">
      <c r="A12" s="4">
        <v>43820</v>
      </c>
      <c r="B12" s="5" t="s">
        <v>32</v>
      </c>
      <c r="C12" s="12" t="s">
        <v>33</v>
      </c>
      <c r="D12" s="13" t="s">
        <v>34</v>
      </c>
      <c r="E12" s="8" t="s">
        <v>33</v>
      </c>
      <c r="F12" s="9">
        <v>30</v>
      </c>
      <c r="G12" s="10" t="str" cm="1">
        <f t="array" ref="G12">IF(ROW(G12)-ROW(G$4)+1&gt;COUNT(I$1:I$40),"",INDEX(H:H,SMALL(I$1:I$40,1+ROW(G12)-ROW(G$4))))</f>
        <v/>
      </c>
      <c r="H12">
        <v>12</v>
      </c>
      <c r="I12" s="1" t="str">
        <f t="shared" si="0"/>
        <v/>
      </c>
      <c r="J12" s="1" t="str" cm="1">
        <f t="array" ref="J12">IF(ROW(G15)-ROW(G$4)+1&gt;COUNT(I$1:I$40),"",INDEX(H:H,SMALL(I$1:I$40,1+ROW(G15)-ROW(G$4))))</f>
        <v/>
      </c>
      <c r="P12" t="str">
        <f ca="1">IF(Summary!N13="","",IF(F12=Summary!N13,"Right","Wrong"))</f>
        <v>Right</v>
      </c>
    </row>
    <row r="13" spans="1:19" ht="18" customHeight="1" x14ac:dyDescent="0.4">
      <c r="A13" s="4">
        <v>43822</v>
      </c>
      <c r="B13" s="5" t="s">
        <v>35</v>
      </c>
      <c r="C13" s="12" t="s">
        <v>36</v>
      </c>
      <c r="D13" s="13" t="s">
        <v>37</v>
      </c>
      <c r="E13" s="8" t="s">
        <v>36</v>
      </c>
      <c r="F13" s="9">
        <v>35</v>
      </c>
      <c r="G13" s="10" t="str" cm="1">
        <f t="array" ref="G13">IF(ROW(G13)-ROW(G$4)+1&gt;COUNT(I$1:I$40),"",INDEX(H:H,SMALL(I$1:I$40,1+ROW(G13)-ROW(G$4))))</f>
        <v/>
      </c>
      <c r="H13">
        <v>13</v>
      </c>
      <c r="I13" s="1" t="str">
        <f t="shared" si="0"/>
        <v/>
      </c>
      <c r="J13" s="1" t="str" cm="1">
        <f t="array" ref="J13">IF(ROW(G16)-ROW(G$4)+1&gt;COUNT(I$1:I$40),"",INDEX(H:H,SMALL(I$1:I$40,1+ROW(G16)-ROW(G$4))))</f>
        <v/>
      </c>
      <c r="P13" t="str">
        <f ca="1">IF(Summary!N14="","",IF(F13=Summary!N14,"Right","Wrong"))</f>
        <v>Right</v>
      </c>
    </row>
    <row r="14" spans="1:19" ht="18" customHeight="1" x14ac:dyDescent="0.4">
      <c r="A14" s="4">
        <v>43823</v>
      </c>
      <c r="B14" s="5" t="s">
        <v>38</v>
      </c>
      <c r="C14" s="12" t="s">
        <v>39</v>
      </c>
      <c r="D14" s="13" t="s">
        <v>40</v>
      </c>
      <c r="E14" s="8" t="s">
        <v>39</v>
      </c>
      <c r="F14" s="9">
        <v>4</v>
      </c>
      <c r="G14" s="10" t="str" cm="1">
        <f t="array" ref="G14">IF(ROW(G14)-ROW(G$4)+1&gt;COUNT(I$1:I$40),"",INDEX(H:H,SMALL(I$1:I$40,1+ROW(G14)-ROW(G$4))))</f>
        <v/>
      </c>
      <c r="H14">
        <v>14</v>
      </c>
      <c r="I14" s="1" t="str">
        <f t="shared" si="0"/>
        <v/>
      </c>
      <c r="J14" s="1" t="str" cm="1">
        <f t="array" ref="J14">IF(ROW(G17)-ROW(G$4)+1&gt;COUNT(I$1:I$40),"",INDEX(H:H,SMALL(I$1:I$40,1+ROW(G17)-ROW(G$4))))</f>
        <v/>
      </c>
      <c r="P14" t="str">
        <f ca="1">IF(Summary!N15="","",IF(F14=Summary!N15,"Right","Wrong"))</f>
        <v>Right</v>
      </c>
    </row>
    <row r="15" spans="1:19" ht="18" customHeight="1" x14ac:dyDescent="0.4">
      <c r="A15" s="4">
        <v>43825</v>
      </c>
      <c r="B15" s="5" t="s">
        <v>41</v>
      </c>
      <c r="C15" s="12" t="s">
        <v>42</v>
      </c>
      <c r="D15" s="13" t="s">
        <v>43</v>
      </c>
      <c r="E15" s="8" t="s">
        <v>43</v>
      </c>
      <c r="F15" s="9">
        <v>1</v>
      </c>
      <c r="G15" s="10" t="str" cm="1">
        <f t="array" ref="G15">IF(ROW(G15)-ROW(G$4)+1&gt;COUNT(I$1:I$40),"",INDEX(H:H,SMALL(I$1:I$40,1+ROW(G15)-ROW(G$4))))</f>
        <v/>
      </c>
      <c r="H15">
        <v>15</v>
      </c>
      <c r="I15" s="1" t="str">
        <f t="shared" si="0"/>
        <v/>
      </c>
      <c r="J15" s="1" t="str" cm="1">
        <f t="array" ref="J15">IF(ROW(G18)-ROW(G$4)+1&gt;COUNT(I$1:I$40),"",INDEX(H:H,SMALL(I$1:I$40,1+ROW(G18)-ROW(G$4))))</f>
        <v/>
      </c>
      <c r="P15" t="str">
        <f ca="1">IF(Summary!N16="","",IF(F15=Summary!N16,"Right","Wrong"))</f>
        <v>Right</v>
      </c>
    </row>
    <row r="16" spans="1:19" ht="18" customHeight="1" x14ac:dyDescent="0.4">
      <c r="A16" s="4">
        <v>43825</v>
      </c>
      <c r="B16" s="5" t="s">
        <v>44</v>
      </c>
      <c r="C16" s="12" t="s">
        <v>45</v>
      </c>
      <c r="D16" s="13" t="s">
        <v>46</v>
      </c>
      <c r="E16" s="8" t="s">
        <v>45</v>
      </c>
      <c r="F16" s="9">
        <v>25</v>
      </c>
      <c r="G16" s="10" t="str" cm="1">
        <f t="array" ref="G16">IF(ROW(G16)-ROW(G$4)+1&gt;COUNT(I$1:I$40),"",INDEX(H:H,SMALL(I$1:I$40,1+ROW(G16)-ROW(G$4))))</f>
        <v/>
      </c>
      <c r="H16">
        <v>16</v>
      </c>
      <c r="I16" s="1" t="str">
        <f t="shared" si="0"/>
        <v/>
      </c>
      <c r="J16" s="1" t="str" cm="1">
        <f t="array" ref="J16">IF(ROW(G19)-ROW(G$4)+1&gt;COUNT(I$1:I$40),"",INDEX(H:H,SMALL(I$1:I$40,1+ROW(G19)-ROW(G$4))))</f>
        <v/>
      </c>
      <c r="P16" t="str">
        <f ca="1">IF(Summary!N17="","",IF(F16=Summary!N17,"Right","Wrong"))</f>
        <v>Right</v>
      </c>
    </row>
    <row r="17" spans="1:16" ht="18" customHeight="1" x14ac:dyDescent="0.4">
      <c r="A17" s="4">
        <v>43826</v>
      </c>
      <c r="B17" s="5" t="s">
        <v>47</v>
      </c>
      <c r="C17" s="12" t="s">
        <v>48</v>
      </c>
      <c r="D17" s="13" t="s">
        <v>49</v>
      </c>
      <c r="E17" s="8" t="s">
        <v>48</v>
      </c>
      <c r="F17" s="9">
        <v>8</v>
      </c>
      <c r="G17" s="10" t="str" cm="1">
        <f t="array" ref="G17">IF(ROW(G17)-ROW(G$4)+1&gt;COUNT(I$1:I$40),"",INDEX(H:H,SMALL(I$1:I$40,1+ROW(G17)-ROW(G$4))))</f>
        <v/>
      </c>
      <c r="H17">
        <v>17</v>
      </c>
      <c r="I17" s="1" t="str">
        <f t="shared" si="0"/>
        <v/>
      </c>
      <c r="J17" s="1" t="str" cm="1">
        <f t="array" ref="J17">IF(ROW(G20)-ROW(G$4)+1&gt;COUNT(I$1:I$40),"",INDEX(H:H,SMALL(I$1:I$40,1+ROW(G20)-ROW(G$4))))</f>
        <v/>
      </c>
      <c r="P17" t="str">
        <f ca="1">IF(Summary!N18="","",IF(F17=Summary!N18,"Right","Wrong"))</f>
        <v>Right</v>
      </c>
    </row>
    <row r="18" spans="1:16" ht="18" customHeight="1" x14ac:dyDescent="0.4">
      <c r="A18" s="4">
        <v>43826</v>
      </c>
      <c r="B18" s="5" t="s">
        <v>50</v>
      </c>
      <c r="C18" s="12" t="s">
        <v>51</v>
      </c>
      <c r="D18" s="13" t="s">
        <v>52</v>
      </c>
      <c r="E18" s="8" t="s">
        <v>52</v>
      </c>
      <c r="F18" s="9">
        <v>11</v>
      </c>
      <c r="G18" s="10" t="str" cm="1">
        <f t="array" ref="G18">IF(ROW(G18)-ROW(G$4)+1&gt;COUNT(I$1:I$40),"",INDEX(H:H,SMALL(I$1:I$40,1+ROW(G18)-ROW(G$4))))</f>
        <v/>
      </c>
      <c r="H18">
        <v>18</v>
      </c>
      <c r="I18" s="1" t="str">
        <f t="shared" si="0"/>
        <v/>
      </c>
      <c r="J18" s="1" t="str" cm="1">
        <f t="array" ref="J18">IF(ROW(G21)-ROW(G$4)+1&gt;COUNT(I$1:I$40),"",INDEX(H:H,SMALL(I$1:I$40,1+ROW(G21)-ROW(G$4))))</f>
        <v/>
      </c>
      <c r="P18" t="str">
        <f ca="1">IF(Summary!N19="","",IF(F18=Summary!N19,"Right","Wrong"))</f>
        <v>Right</v>
      </c>
    </row>
    <row r="19" spans="1:16" ht="18" customHeight="1" x14ac:dyDescent="0.4">
      <c r="A19" s="4">
        <v>43826</v>
      </c>
      <c r="B19" s="5" t="s">
        <v>53</v>
      </c>
      <c r="C19" s="12" t="s">
        <v>54</v>
      </c>
      <c r="D19" s="13" t="s">
        <v>55</v>
      </c>
      <c r="E19" s="8" t="s">
        <v>54</v>
      </c>
      <c r="F19" s="9">
        <v>12</v>
      </c>
      <c r="G19" s="10" t="str" cm="1">
        <f t="array" ref="G19">IF(ROW(G19)-ROW(G$4)+1&gt;COUNT(I$1:I$40),"",INDEX(H:H,SMALL(I$1:I$40,1+ROW(G19)-ROW(G$4))))</f>
        <v/>
      </c>
      <c r="H19">
        <v>19</v>
      </c>
      <c r="I19" s="1" t="str">
        <f t="shared" si="0"/>
        <v/>
      </c>
      <c r="J19" s="1" t="str" cm="1">
        <f t="array" ref="J19">IF(ROW(G22)-ROW(G$4)+1&gt;COUNT(I$1:I$40),"",INDEX(H:H,SMALL(I$1:I$40,1+ROW(G22)-ROW(G$4))))</f>
        <v/>
      </c>
      <c r="P19" t="str">
        <f ca="1">IF(Summary!N20="","",IF(F19=Summary!N20,"Right","Wrong"))</f>
        <v>Wrong</v>
      </c>
    </row>
    <row r="20" spans="1:16" ht="18" customHeight="1" x14ac:dyDescent="0.4">
      <c r="A20" s="4">
        <v>43826</v>
      </c>
      <c r="B20" s="5" t="s">
        <v>56</v>
      </c>
      <c r="C20" s="12" t="s">
        <v>57</v>
      </c>
      <c r="D20" s="13" t="s">
        <v>58</v>
      </c>
      <c r="E20" s="8" t="s">
        <v>58</v>
      </c>
      <c r="F20" s="9">
        <v>31</v>
      </c>
      <c r="G20" s="10" t="str" cm="1">
        <f t="array" ref="G20">IF(ROW(G20)-ROW(G$4)+1&gt;COUNT(I$1:I$40),"",INDEX(H:H,SMALL(I$1:I$40,1+ROW(G20)-ROW(G$4))))</f>
        <v/>
      </c>
      <c r="H20">
        <v>20</v>
      </c>
      <c r="I20" s="1" t="str">
        <f t="shared" si="0"/>
        <v/>
      </c>
      <c r="J20" s="1" t="str" cm="1">
        <f t="array" ref="J20">IF(ROW(G23)-ROW(G$4)+1&gt;COUNT(I$1:I$40),"",INDEX(H:H,SMALL(I$1:I$40,1+ROW(G23)-ROW(G$4))))</f>
        <v/>
      </c>
      <c r="P20" t="str">
        <f ca="1">IF(Summary!N21="","",IF(F20=Summary!N21,"Right","Wrong"))</f>
        <v>Right</v>
      </c>
    </row>
    <row r="21" spans="1:16" ht="18" customHeight="1" x14ac:dyDescent="0.4">
      <c r="A21" s="4">
        <v>43826</v>
      </c>
      <c r="B21" s="5" t="s">
        <v>59</v>
      </c>
      <c r="C21" s="12" t="s">
        <v>60</v>
      </c>
      <c r="D21" s="13" t="s">
        <v>61</v>
      </c>
      <c r="E21" s="8" t="s">
        <v>61</v>
      </c>
      <c r="F21" s="9">
        <v>13</v>
      </c>
      <c r="G21" s="10" t="str" cm="1">
        <f t="array" ref="G21">IF(ROW(G21)-ROW(G$4)+1&gt;COUNT(I$1:I$40),"",INDEX(H:H,SMALL(I$1:I$40,1+ROW(G21)-ROW(G$4))))</f>
        <v/>
      </c>
      <c r="H21">
        <v>21</v>
      </c>
      <c r="I21" s="1" t="str">
        <f t="shared" si="0"/>
        <v/>
      </c>
      <c r="J21" s="1" t="str" cm="1">
        <f t="array" ref="J21">IF(ROW(G24)-ROW(G$4)+1&gt;COUNT(I$1:I$40),"",INDEX(H:H,SMALL(I$1:I$40,1+ROW(G24)-ROW(G$4))))</f>
        <v/>
      </c>
      <c r="P21" t="str">
        <f ca="1">IF(Summary!N22="","",IF(F21=Summary!N22,"Right","Wrong"))</f>
        <v>Wrong</v>
      </c>
    </row>
    <row r="22" spans="1:16" ht="18" customHeight="1" x14ac:dyDescent="0.4">
      <c r="A22" s="4">
        <v>43827</v>
      </c>
      <c r="B22" s="5" t="s">
        <v>62</v>
      </c>
      <c r="C22" s="12" t="s">
        <v>63</v>
      </c>
      <c r="D22" s="13" t="s">
        <v>64</v>
      </c>
      <c r="E22" s="8" t="s">
        <v>63</v>
      </c>
      <c r="F22" s="9">
        <v>36</v>
      </c>
      <c r="G22" s="10" t="str" cm="1">
        <f t="array" ref="G22">IF(ROW(G22)-ROW(G$4)+1&gt;COUNT(I$1:I$40),"",INDEX(H:H,SMALL(I$1:I$40,1+ROW(G22)-ROW(G$4))))</f>
        <v/>
      </c>
      <c r="H22">
        <v>22</v>
      </c>
      <c r="I22" s="1" t="str">
        <f t="shared" si="0"/>
        <v/>
      </c>
      <c r="J22" s="1" t="str" cm="1">
        <f t="array" ref="J22">IF(ROW(G25)-ROW(G$4)+1&gt;COUNT(I$1:I$40),"",INDEX(H:H,SMALL(I$1:I$40,1+ROW(G25)-ROW(G$4))))</f>
        <v/>
      </c>
      <c r="P22" t="str">
        <f ca="1">IF(Summary!N23="","",IF(F22=Summary!N23,"Right","Wrong"))</f>
        <v>Right</v>
      </c>
    </row>
    <row r="23" spans="1:16" ht="18" customHeight="1" x14ac:dyDescent="0.4">
      <c r="A23" s="4">
        <v>43827</v>
      </c>
      <c r="B23" s="5" t="s">
        <v>65</v>
      </c>
      <c r="C23" s="12" t="s">
        <v>66</v>
      </c>
      <c r="D23" s="13" t="s">
        <v>67</v>
      </c>
      <c r="E23" s="8" t="s">
        <v>66</v>
      </c>
      <c r="F23" s="9">
        <v>40</v>
      </c>
      <c r="G23" s="10" t="str" cm="1">
        <f t="array" ref="G23">IF(ROW(G23)-ROW(G$4)+1&gt;COUNT(I$1:I$40),"",INDEX(H:H,SMALL(I$1:I$40,1+ROW(G23)-ROW(G$4))))</f>
        <v/>
      </c>
      <c r="H23">
        <v>23</v>
      </c>
      <c r="I23" s="1" t="str">
        <f t="shared" si="0"/>
        <v/>
      </c>
      <c r="J23" s="1" t="str" cm="1">
        <f t="array" ref="J23">IF(ROW(G26)-ROW(G$4)+1&gt;COUNT(I$1:I$40),"",INDEX(H:H,SMALL(I$1:I$40,1+ROW(G26)-ROW(G$4))))</f>
        <v/>
      </c>
      <c r="P23" t="str">
        <f ca="1">IF(Summary!N24="","",IF(F23=Summary!N24,"Right","Wrong"))</f>
        <v>Right</v>
      </c>
    </row>
    <row r="24" spans="1:16" ht="18" customHeight="1" x14ac:dyDescent="0.4">
      <c r="A24" s="4">
        <v>43827</v>
      </c>
      <c r="B24" s="5" t="s">
        <v>68</v>
      </c>
      <c r="C24" s="12" t="s">
        <v>69</v>
      </c>
      <c r="D24" s="13" t="s">
        <v>70</v>
      </c>
      <c r="E24" s="8" t="s">
        <v>69</v>
      </c>
      <c r="F24" s="9">
        <v>39</v>
      </c>
      <c r="G24" s="10" t="str" cm="1">
        <f t="array" ref="G24">IF(ROW(G24)-ROW(G$4)+1&gt;COUNT(I$1:I$40),"",INDEX(H:H,SMALL(I$1:I$40,1+ROW(G24)-ROW(G$4))))</f>
        <v/>
      </c>
      <c r="H24">
        <v>24</v>
      </c>
      <c r="I24" s="1" t="str">
        <f t="shared" si="0"/>
        <v/>
      </c>
      <c r="J24" s="1" t="str" cm="1">
        <f t="array" ref="J24">IF(ROW(G27)-ROW(G$4)+1&gt;COUNT(I$1:I$40),"",INDEX(H:H,SMALL(I$1:I$40,1+ROW(G27)-ROW(G$4))))</f>
        <v/>
      </c>
      <c r="P24" t="str">
        <f ca="1">IF(Summary!N25="","",IF(F24=Summary!N25,"Right","Wrong"))</f>
        <v>Right</v>
      </c>
    </row>
    <row r="25" spans="1:16" ht="18" customHeight="1" x14ac:dyDescent="0.4">
      <c r="A25" s="4">
        <v>43827</v>
      </c>
      <c r="B25" s="5" t="s">
        <v>71</v>
      </c>
      <c r="C25" s="12" t="s">
        <v>72</v>
      </c>
      <c r="D25" s="13" t="s">
        <v>73</v>
      </c>
      <c r="E25" s="8" t="s">
        <v>72</v>
      </c>
      <c r="F25" s="9">
        <v>32</v>
      </c>
      <c r="G25" s="10" t="str" cm="1">
        <f t="array" ref="G25">IF(ROW(G25)-ROW(G$4)+1&gt;COUNT(I$1:I$40),"",INDEX(H:H,SMALL(I$1:I$40,1+ROW(G25)-ROW(G$4))))</f>
        <v/>
      </c>
      <c r="H25">
        <v>25</v>
      </c>
      <c r="I25" s="1" t="str">
        <f t="shared" si="0"/>
        <v/>
      </c>
      <c r="J25" s="1" t="str" cm="1">
        <f t="array" ref="J25">IF(ROW(G28)-ROW(G$4)+1&gt;COUNT(I$1:I$40),"",INDEX(H:H,SMALL(I$1:I$40,1+ROW(G28)-ROW(G$4))))</f>
        <v/>
      </c>
      <c r="P25" t="str">
        <f ca="1">IF(Summary!N26="","",IF(F25=Summary!N26,"Right","Wrong"))</f>
        <v>Wrong</v>
      </c>
    </row>
    <row r="26" spans="1:16" ht="18" customHeight="1" x14ac:dyDescent="0.4">
      <c r="A26" s="4">
        <v>43829</v>
      </c>
      <c r="B26" s="5" t="s">
        <v>74</v>
      </c>
      <c r="C26" s="12" t="s">
        <v>75</v>
      </c>
      <c r="D26" s="13" t="s">
        <v>76</v>
      </c>
      <c r="E26" s="8" t="s">
        <v>76</v>
      </c>
      <c r="F26" s="9">
        <v>14</v>
      </c>
      <c r="G26" s="10" t="str" cm="1">
        <f t="array" ref="G26">IF(ROW(G26)-ROW(G$4)+1&gt;COUNT(I$1:I$40),"",INDEX(H:H,SMALL(I$1:I$40,1+ROW(G26)-ROW(G$4))))</f>
        <v/>
      </c>
      <c r="H26">
        <v>26</v>
      </c>
      <c r="I26" s="1" t="str">
        <f t="shared" si="0"/>
        <v/>
      </c>
      <c r="J26" s="1" t="str" cm="1">
        <f t="array" ref="J26">IF(ROW(G29)-ROW(G$4)+1&gt;COUNT(I$1:I$40),"",INDEX(H:H,SMALL(I$1:I$40,1+ROW(G29)-ROW(G$4))))</f>
        <v/>
      </c>
      <c r="P26" t="str">
        <f ca="1">IF(Summary!N27="","",IF(F26=Summary!N27,"Right","Wrong"))</f>
        <v>Wrong</v>
      </c>
    </row>
    <row r="27" spans="1:16" ht="18" customHeight="1" x14ac:dyDescent="0.4">
      <c r="A27" s="4">
        <v>43829</v>
      </c>
      <c r="B27" s="5" t="s">
        <v>77</v>
      </c>
      <c r="C27" s="12" t="s">
        <v>78</v>
      </c>
      <c r="D27" s="13" t="s">
        <v>148</v>
      </c>
      <c r="E27" s="8" t="s">
        <v>148</v>
      </c>
      <c r="F27" s="9">
        <v>16</v>
      </c>
      <c r="G27" s="10" t="str" cm="1">
        <f t="array" ref="G27">IF(ROW(G27)-ROW(G$4)+1&gt;COUNT(I$1:I$40),"",INDEX(H:H,SMALL(I$1:I$40,1+ROW(G27)-ROW(G$4))))</f>
        <v/>
      </c>
      <c r="H27">
        <v>27</v>
      </c>
      <c r="I27" s="1" t="str">
        <f t="shared" si="0"/>
        <v/>
      </c>
      <c r="J27" s="1" t="str" cm="1">
        <f t="array" ref="J27">IF(ROW(G30)-ROW(G$4)+1&gt;COUNT(I$1:I$40),"",INDEX(H:H,SMALL(I$1:I$40,1+ROW(G30)-ROW(G$4))))</f>
        <v/>
      </c>
      <c r="P27" t="str">
        <f ca="1">IF(Summary!N28="","",IF(F27=Summary!N28,"Right","Wrong"))</f>
        <v>Right</v>
      </c>
    </row>
    <row r="28" spans="1:16" ht="18" customHeight="1" x14ac:dyDescent="0.4">
      <c r="A28" s="4">
        <v>43829</v>
      </c>
      <c r="B28" s="5" t="s">
        <v>80</v>
      </c>
      <c r="C28" s="12" t="s">
        <v>81</v>
      </c>
      <c r="D28" s="13" t="s">
        <v>82</v>
      </c>
      <c r="E28" s="8" t="s">
        <v>81</v>
      </c>
      <c r="F28" s="9">
        <v>17</v>
      </c>
      <c r="G28" s="10" t="str" cm="1">
        <f t="array" ref="G28">IF(ROW(G28)-ROW(G$4)+1&gt;COUNT(I$1:I$40),"",INDEX(H:H,SMALL(I$1:I$40,1+ROW(G28)-ROW(G$4))))</f>
        <v/>
      </c>
      <c r="H28">
        <v>28</v>
      </c>
      <c r="I28" s="1" t="str">
        <f t="shared" si="0"/>
        <v/>
      </c>
      <c r="J28" s="1" t="str" cm="1">
        <f t="array" ref="J28">IF(ROW(G31)-ROW(G$4)+1&gt;COUNT(I$1:I$40),"",INDEX(H:H,SMALL(I$1:I$40,1+ROW(G31)-ROW(G$4))))</f>
        <v/>
      </c>
      <c r="P28" t="str">
        <f ca="1">IF(Summary!N29="","",IF(F28=Summary!N29,"Right","Wrong"))</f>
        <v>Wrong</v>
      </c>
    </row>
    <row r="29" spans="1:16" ht="18" customHeight="1" x14ac:dyDescent="0.4">
      <c r="A29" s="4">
        <v>43829</v>
      </c>
      <c r="B29" s="5" t="s">
        <v>83</v>
      </c>
      <c r="C29" s="12" t="s">
        <v>84</v>
      </c>
      <c r="D29" s="13" t="s">
        <v>85</v>
      </c>
      <c r="E29" s="8" t="s">
        <v>84</v>
      </c>
      <c r="F29" s="9">
        <v>38</v>
      </c>
      <c r="G29" s="10" t="str" cm="1">
        <f t="array" ref="G29">IF(ROW(G29)-ROW(G$4)+1&gt;COUNT(I$1:I$40),"",INDEX(H:H,SMALL(I$1:I$40,1+ROW(G29)-ROW(G$4))))</f>
        <v/>
      </c>
      <c r="H29">
        <v>29</v>
      </c>
      <c r="I29" s="1" t="str">
        <f t="shared" si="0"/>
        <v/>
      </c>
      <c r="J29" s="1" t="str" cm="1">
        <f t="array" ref="J29">IF(ROW(G32)-ROW(G$4)+1&gt;COUNT(I$1:I$40),"",INDEX(H:H,SMALL(I$1:I$40,1+ROW(G32)-ROW(G$4))))</f>
        <v/>
      </c>
      <c r="P29" t="str">
        <f ca="1">IF(Summary!N30="","",IF(F29=Summary!N30,"Right","Wrong"))</f>
        <v>Right</v>
      </c>
    </row>
    <row r="30" spans="1:16" ht="18" customHeight="1" x14ac:dyDescent="0.4">
      <c r="A30" s="4">
        <v>43830</v>
      </c>
      <c r="B30" s="5" t="s">
        <v>86</v>
      </c>
      <c r="C30" s="12" t="s">
        <v>87</v>
      </c>
      <c r="D30" s="13" t="s">
        <v>88</v>
      </c>
      <c r="E30" s="8" t="s">
        <v>88</v>
      </c>
      <c r="F30" s="9">
        <v>18</v>
      </c>
      <c r="G30" s="10" t="str" cm="1">
        <f t="array" ref="G30">IF(ROW(G30)-ROW(G$4)+1&gt;COUNT(I$1:I$40),"",INDEX(H:H,SMALL(I$1:I$40,1+ROW(G30)-ROW(G$4))))</f>
        <v/>
      </c>
      <c r="H30">
        <v>30</v>
      </c>
      <c r="I30" s="1" t="str">
        <f t="shared" si="0"/>
        <v/>
      </c>
      <c r="J30" s="1" t="str" cm="1">
        <f t="array" ref="J30">IF(ROW(G33)-ROW(G$4)+1&gt;COUNT(I$1:I$40),"",INDEX(H:H,SMALL(I$1:I$40,1+ROW(G33)-ROW(G$4))))</f>
        <v/>
      </c>
      <c r="P30" t="str">
        <f ca="1">IF(Summary!N31="","",IF(F30=Summary!N31,"Right","Wrong"))</f>
        <v>Wrong</v>
      </c>
    </row>
    <row r="31" spans="1:16" ht="18" customHeight="1" x14ac:dyDescent="0.4">
      <c r="A31" s="4">
        <v>43830</v>
      </c>
      <c r="B31" s="5" t="s">
        <v>89</v>
      </c>
      <c r="C31" s="12" t="s">
        <v>90</v>
      </c>
      <c r="D31" s="13" t="s">
        <v>91</v>
      </c>
      <c r="E31" s="8" t="s">
        <v>91</v>
      </c>
      <c r="F31" s="9">
        <v>19</v>
      </c>
      <c r="G31" s="10" t="str" cm="1">
        <f t="array" ref="G31">IF(ROW(G31)-ROW(G$4)+1&gt;COUNT(I$1:I$40),"",INDEX(H:H,SMALL(I$1:I$40,1+ROW(G31)-ROW(G$4))))</f>
        <v/>
      </c>
      <c r="H31">
        <v>31</v>
      </c>
      <c r="I31" s="1" t="str">
        <f t="shared" si="0"/>
        <v/>
      </c>
      <c r="J31" s="1" t="str" cm="1">
        <f t="array" ref="J31">IF(ROW(G34)-ROW(G$4)+1&gt;COUNT(I$1:I$40),"",INDEX(H:H,SMALL(I$1:I$40,1+ROW(G34)-ROW(G$4))))</f>
        <v/>
      </c>
      <c r="P31" t="str">
        <f ca="1">IF(Summary!N32="","",IF(F31=Summary!N32,"Right","Wrong"))</f>
        <v>Right</v>
      </c>
    </row>
    <row r="32" spans="1:16" ht="18" customHeight="1" x14ac:dyDescent="0.4">
      <c r="A32" s="4">
        <v>43830</v>
      </c>
      <c r="B32" s="5" t="s">
        <v>92</v>
      </c>
      <c r="C32" s="12" t="s">
        <v>93</v>
      </c>
      <c r="D32" s="13" t="s">
        <v>94</v>
      </c>
      <c r="E32" s="8" t="s">
        <v>93</v>
      </c>
      <c r="F32" s="9">
        <v>21</v>
      </c>
      <c r="G32" s="10" t="str" cm="1">
        <f t="array" ref="G32">IF(ROW(G32)-ROW(G$4)+1&gt;COUNT(I$1:I$40),"",INDEX(H:H,SMALL(I$1:I$40,1+ROW(G32)-ROW(G$4))))</f>
        <v/>
      </c>
      <c r="H32">
        <v>32</v>
      </c>
      <c r="I32" s="1" t="str">
        <f t="shared" si="0"/>
        <v/>
      </c>
      <c r="J32" s="1" t="str" cm="1">
        <f t="array" ref="J32">IF(ROW(G35)-ROW(G$4)+1&gt;COUNT(I$1:I$40),"",INDEX(H:H,SMALL(I$1:I$40,1+ROW(G35)-ROW(G$4))))</f>
        <v/>
      </c>
      <c r="P32" t="str">
        <f ca="1">IF(Summary!N33="","",IF(F32=Summary!N33,"Right","Wrong"))</f>
        <v>Right</v>
      </c>
    </row>
    <row r="33" spans="1:16" ht="18" customHeight="1" x14ac:dyDescent="0.4">
      <c r="A33" s="4">
        <v>43830</v>
      </c>
      <c r="B33" s="5" t="s">
        <v>95</v>
      </c>
      <c r="C33" s="12" t="s">
        <v>96</v>
      </c>
      <c r="D33" s="13" t="s">
        <v>97</v>
      </c>
      <c r="E33" s="8" t="s">
        <v>97</v>
      </c>
      <c r="F33" s="9">
        <v>6</v>
      </c>
      <c r="G33" s="10" t="str" cm="1">
        <f t="array" ref="G33">IF(ROW(G33)-ROW(G$4)+1&gt;COUNT(I$1:I$40),"",INDEX(H:H,SMALL(I$1:I$40,1+ROW(G33)-ROW(G$4))))</f>
        <v/>
      </c>
      <c r="H33">
        <v>33</v>
      </c>
      <c r="I33" s="1" t="str">
        <f t="shared" si="0"/>
        <v/>
      </c>
      <c r="J33" s="1" t="str" cm="1">
        <f t="array" ref="J33">IF(ROW(G36)-ROW(G$4)+1&gt;COUNT(I$1:I$40),"",INDEX(H:H,SMALL(I$1:I$40,1+ROW(G36)-ROW(G$4))))</f>
        <v/>
      </c>
      <c r="P33" t="str">
        <f ca="1">IF(Summary!N34="","",IF(F33=Summary!N34,"Right","Wrong"))</f>
        <v>Right</v>
      </c>
    </row>
    <row r="34" spans="1:16" ht="18" customHeight="1" x14ac:dyDescent="0.4">
      <c r="A34" s="4">
        <v>43830</v>
      </c>
      <c r="B34" s="5" t="s">
        <v>98</v>
      </c>
      <c r="C34" s="12" t="s">
        <v>99</v>
      </c>
      <c r="D34" s="13" t="s">
        <v>100</v>
      </c>
      <c r="E34" s="8" t="s">
        <v>99</v>
      </c>
      <c r="F34" s="9">
        <v>37</v>
      </c>
      <c r="G34" s="10" t="str" cm="1">
        <f t="array" ref="G34">IF(ROW(G34)-ROW(G$4)+1&gt;COUNT(I$1:I$40),"",INDEX(H:H,SMALL(I$1:I$40,1+ROW(G34)-ROW(G$4))))</f>
        <v/>
      </c>
      <c r="H34">
        <v>34</v>
      </c>
      <c r="I34" s="1" t="str">
        <f t="shared" si="0"/>
        <v/>
      </c>
      <c r="J34" s="1" t="str" cm="1">
        <f t="array" ref="J34">IF(ROW(G37)-ROW(G$4)+1&gt;COUNT(I$1:I$40),"",INDEX(H:H,SMALL(I$1:I$40,1+ROW(G37)-ROW(G$4))))</f>
        <v/>
      </c>
      <c r="P34" t="str">
        <f ca="1">IF(Summary!N35="","",IF(F34=Summary!N35,"Right","Wrong"))</f>
        <v>Wrong</v>
      </c>
    </row>
    <row r="35" spans="1:16" ht="18" customHeight="1" x14ac:dyDescent="0.4">
      <c r="A35" s="4">
        <v>43466</v>
      </c>
      <c r="B35" s="5" t="s">
        <v>101</v>
      </c>
      <c r="C35" s="12" t="s">
        <v>102</v>
      </c>
      <c r="D35" s="13" t="s">
        <v>103</v>
      </c>
      <c r="E35" s="8" t="s">
        <v>103</v>
      </c>
      <c r="F35" s="9">
        <v>22</v>
      </c>
      <c r="G35" s="10" t="str" cm="1">
        <f t="array" ref="G35">IF(ROW(G35)-ROW(G$4)+1&gt;COUNT(I$1:I$40),"",INDEX(H:H,SMALL(I$1:I$40,1+ROW(G35)-ROW(G$4))))</f>
        <v/>
      </c>
      <c r="H35">
        <v>35</v>
      </c>
      <c r="I35" s="1" t="str">
        <f t="shared" si="0"/>
        <v/>
      </c>
      <c r="J35" s="1" t="str" cm="1">
        <f t="array" ref="J35">IF(ROW(G38)-ROW(G$4)+1&gt;COUNT(I$1:I$40),"",INDEX(H:H,SMALL(I$1:I$40,1+ROW(G38)-ROW(G$4))))</f>
        <v/>
      </c>
      <c r="P35" t="str">
        <f ca="1">IF(Summary!N36="","",IF(F35=Summary!N36,"Right","Wrong"))</f>
        <v>Wrong</v>
      </c>
    </row>
    <row r="36" spans="1:16" ht="18" customHeight="1" x14ac:dyDescent="0.4">
      <c r="A36" s="4">
        <v>43466</v>
      </c>
      <c r="B36" s="5" t="s">
        <v>104</v>
      </c>
      <c r="C36" s="12" t="s">
        <v>105</v>
      </c>
      <c r="D36" s="13" t="s">
        <v>106</v>
      </c>
      <c r="E36" s="8" t="s">
        <v>106</v>
      </c>
      <c r="F36" s="9">
        <v>27</v>
      </c>
      <c r="G36" s="10" t="str" cm="1">
        <f t="array" ref="G36">IF(ROW(G36)-ROW(G$4)+1&gt;COUNT(I$1:I$40),"",INDEX(H:H,SMALL(I$1:I$40,1+ROW(G36)-ROW(G$4))))</f>
        <v/>
      </c>
      <c r="H36">
        <v>36</v>
      </c>
      <c r="I36" s="1" t="str">
        <f t="shared" si="0"/>
        <v/>
      </c>
      <c r="J36" s="1" t="str" cm="1">
        <f t="array" ref="J36">IF(ROW(G39)-ROW(G$4)+1&gt;COUNT(I$1:I$40),"",INDEX(H:H,SMALL(I$1:I$40,1+ROW(G39)-ROW(G$4))))</f>
        <v/>
      </c>
      <c r="P36" t="str">
        <f ca="1">IF(Summary!N37="","",IF(F36=Summary!N37,"Right","Wrong"))</f>
        <v>Right</v>
      </c>
    </row>
    <row r="37" spans="1:16" ht="18" customHeight="1" x14ac:dyDescent="0.4">
      <c r="A37" s="4">
        <v>43466</v>
      </c>
      <c r="B37" s="5" t="s">
        <v>107</v>
      </c>
      <c r="C37" s="12" t="s">
        <v>108</v>
      </c>
      <c r="D37" s="13" t="s">
        <v>109</v>
      </c>
      <c r="E37" s="8" t="s">
        <v>108</v>
      </c>
      <c r="F37" s="9">
        <v>34</v>
      </c>
      <c r="G37" s="10" t="str" cm="1">
        <f t="array" ref="G37">IF(ROW(G37)-ROW(G$4)+1&gt;COUNT(I$1:I$40),"",INDEX(H:H,SMALL(I$1:I$40,1+ROW(G37)-ROW(G$4))))</f>
        <v/>
      </c>
      <c r="H37">
        <v>37</v>
      </c>
      <c r="I37" s="1" t="str">
        <f t="shared" si="0"/>
        <v/>
      </c>
      <c r="J37" s="1" t="str" cm="1">
        <f t="array" ref="J37">IF(ROW(G40)-ROW(G$4)+1&gt;COUNT(I$1:I$40),"",INDEX(H:H,SMALL(I$1:I$40,1+ROW(G40)-ROW(G$4))))</f>
        <v/>
      </c>
      <c r="P37" t="str">
        <f ca="1">IF(Summary!N38="","",IF(F37=Summary!N38,"Right","Wrong"))</f>
        <v>Right</v>
      </c>
    </row>
    <row r="38" spans="1:16" ht="18" customHeight="1" x14ac:dyDescent="0.4">
      <c r="A38" s="4">
        <v>43466</v>
      </c>
      <c r="B38" s="5" t="s">
        <v>110</v>
      </c>
      <c r="C38" s="12" t="s">
        <v>111</v>
      </c>
      <c r="D38" s="13" t="s">
        <v>112</v>
      </c>
      <c r="E38" s="8" t="s">
        <v>111</v>
      </c>
      <c r="F38" s="9">
        <v>28</v>
      </c>
      <c r="G38" s="10" t="str" cm="1">
        <f t="array" ref="G38">IF(ROW(G38)-ROW(G$4)+1&gt;COUNT(I$1:I$40),"",INDEX(H:H,SMALL(I$1:I$40,1+ROW(G38)-ROW(G$4))))</f>
        <v/>
      </c>
      <c r="H38">
        <v>38</v>
      </c>
      <c r="I38" s="1" t="str">
        <f t="shared" si="0"/>
        <v/>
      </c>
      <c r="J38" s="1" t="str" cm="1">
        <f t="array" ref="J38">IF(ROW(G41)-ROW(G$4)+1&gt;COUNT(I$1:I$40),"",INDEX(H:H,SMALL(I$1:I$40,1+ROW(G41)-ROW(G$4))))</f>
        <v/>
      </c>
      <c r="P38" t="str">
        <f ca="1">IF(Summary!N39="","",IF(F38=Summary!N39,"Right","Wrong"))</f>
        <v>Right</v>
      </c>
    </row>
    <row r="39" spans="1:16" ht="18" customHeight="1" x14ac:dyDescent="0.4">
      <c r="A39" s="4">
        <v>43467</v>
      </c>
      <c r="B39" s="5" t="s">
        <v>113</v>
      </c>
      <c r="C39" s="12" t="s">
        <v>114</v>
      </c>
      <c r="D39" s="13" t="s">
        <v>115</v>
      </c>
      <c r="E39" s="8" t="s">
        <v>115</v>
      </c>
      <c r="F39" s="9">
        <v>26</v>
      </c>
      <c r="G39" s="10" t="str" cm="1">
        <f t="array" ref="G39">IF(ROW(G39)-ROW(G$4)+1&gt;COUNT(I$1:I$40),"",INDEX(H:H,SMALL(I$1:I$40,1+ROW(G39)-ROW(G$4))))</f>
        <v/>
      </c>
      <c r="H39">
        <v>39</v>
      </c>
      <c r="I39" s="1" t="str">
        <f t="shared" si="0"/>
        <v/>
      </c>
      <c r="J39" s="1" t="str" cm="1">
        <f t="array" ref="J39">IF(ROW(G42)-ROW(G$4)+1&gt;COUNT(I$1:I$40),"",INDEX(H:H,SMALL(I$1:I$40,1+ROW(G42)-ROW(G$4))))</f>
        <v/>
      </c>
      <c r="P39" t="str">
        <f ca="1">IF(Summary!N40="","",IF(F39=Summary!N40,"Right","Wrong"))</f>
        <v>Right</v>
      </c>
    </row>
    <row r="40" spans="1:16" ht="18" customHeight="1" x14ac:dyDescent="0.4">
      <c r="A40" s="4">
        <v>43467</v>
      </c>
      <c r="B40" s="5" t="s">
        <v>116</v>
      </c>
      <c r="C40" s="12" t="s">
        <v>117</v>
      </c>
      <c r="D40" s="13" t="s">
        <v>118</v>
      </c>
      <c r="E40" s="8" t="s">
        <v>118</v>
      </c>
      <c r="F40" s="9">
        <v>23</v>
      </c>
      <c r="G40" s="10" t="str" cm="1">
        <f t="array" ref="G40">IF(ROW(G40)-ROW(G$4)+1&gt;COUNT(I$1:I$40),"",INDEX(H:H,SMALL(I$1:I$40,1+ROW(G40)-ROW(G$4))))</f>
        <v/>
      </c>
      <c r="H40">
        <v>40</v>
      </c>
      <c r="I40" s="1" t="str">
        <f t="shared" si="0"/>
        <v/>
      </c>
      <c r="J40" s="1" t="str" cm="1">
        <f t="array" ref="J40">IF(ROW(G43)-ROW(G$4)+1&gt;COUNT(I$1:I$40),"",INDEX(H:H,SMALL(I$1:I$40,1+ROW(G43)-ROW(G$4))))</f>
        <v/>
      </c>
      <c r="P40" t="str">
        <f ca="1">IF(Summary!N41="","",IF(F40=Summary!N41,"Right","Wrong"))</f>
        <v>Wrong</v>
      </c>
    </row>
    <row r="41" spans="1:16" ht="18" customHeight="1" x14ac:dyDescent="0.4">
      <c r="A41" s="4">
        <v>43468</v>
      </c>
      <c r="B41" s="5" t="s">
        <v>119</v>
      </c>
      <c r="C41" s="12" t="s">
        <v>120</v>
      </c>
      <c r="D41" s="13" t="s">
        <v>121</v>
      </c>
      <c r="E41" s="8" t="s">
        <v>120</v>
      </c>
      <c r="F41" s="9">
        <v>24</v>
      </c>
      <c r="G41" s="10" t="str" cm="1">
        <f t="array" ref="G41">IF(ROW(G41)-ROW(G$4)+1&gt;COUNT(I$1:I$40),"",INDEX(H:H,SMALL(I$1:I$40,1+ROW(G41)-ROW(G$4))))</f>
        <v/>
      </c>
      <c r="I41" s="1"/>
      <c r="J41" s="1" t="str" cm="1">
        <f t="array" ref="J41">IF(ROW(G44)-ROW(G$4)+1&gt;COUNT(I$1:I$40),"",INDEX(H:H,SMALL(I$1:I$40,1+ROW(G44)-ROW(G$4))))</f>
        <v/>
      </c>
      <c r="P41" t="str">
        <f ca="1">IF(Summary!N42="","",IF(F41=Summary!N42,"Right","Wrong"))</f>
        <v>Right</v>
      </c>
    </row>
    <row r="42" spans="1:16" ht="18" customHeight="1" x14ac:dyDescent="0.4">
      <c r="A42" s="4">
        <v>43469</v>
      </c>
      <c r="B42" s="5" t="s">
        <v>122</v>
      </c>
      <c r="C42" s="12" t="s">
        <v>123</v>
      </c>
      <c r="D42" s="13" t="s">
        <v>124</v>
      </c>
      <c r="E42" s="8" t="s">
        <v>123</v>
      </c>
      <c r="F42" s="9">
        <v>29</v>
      </c>
      <c r="G42" s="10" t="str" cm="1">
        <f t="array" ref="G42">IF(ROW(G42)-ROW(G$4)+1&gt;COUNT(I$1:I$40),"",INDEX(H:H,SMALL(I$1:I$40,1+ROW(G42)-ROW(G$4))))</f>
        <v/>
      </c>
      <c r="H42" s="14"/>
      <c r="P42" t="str">
        <f ca="1">IF(Summary!N43="","",IF(F42=Summary!N43,"Right","Wrong"))</f>
        <v>Right</v>
      </c>
    </row>
    <row r="43" spans="1:16" ht="18" customHeight="1" thickBot="1" x14ac:dyDescent="0.45">
      <c r="A43" s="15">
        <v>43471</v>
      </c>
      <c r="B43" s="16" t="s">
        <v>125</v>
      </c>
      <c r="C43" s="17" t="s">
        <v>126</v>
      </c>
      <c r="D43" s="18" t="s">
        <v>127</v>
      </c>
      <c r="E43" s="19" t="s">
        <v>127</v>
      </c>
      <c r="F43" s="20">
        <v>33</v>
      </c>
      <c r="G43" s="21" t="str" cm="1">
        <f t="array" ref="G43">IF(ROW(G43)-ROW(G$4)+1&gt;COUNT(I$1:I$40),"",INDEX(H:H,SMALL(I$1:I$40,1+ROW(G43)-ROW(G$4))))</f>
        <v/>
      </c>
      <c r="H43" s="14"/>
      <c r="P43" t="str">
        <f ca="1">IF(Summary!N44="","",IF(F43=Summary!N44,"Right","Wrong"))</f>
        <v>Wrong</v>
      </c>
    </row>
    <row r="44" spans="1:16" ht="18" customHeight="1" x14ac:dyDescent="0.4">
      <c r="A44" s="22"/>
      <c r="B44" s="104" t="s">
        <v>128</v>
      </c>
      <c r="C44" s="104"/>
      <c r="D44" s="104"/>
      <c r="E44" s="23" t="s">
        <v>149</v>
      </c>
      <c r="F44" s="24">
        <v>63</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25" priority="4">
      <formula>LEN(TRIM(B1))=0</formula>
    </cfRule>
  </conditionalFormatting>
  <conditionalFormatting sqref="F4:F44">
    <cfRule type="duplicateValues" dxfId="24" priority="3"/>
  </conditionalFormatting>
  <conditionalFormatting sqref="P4:P43">
    <cfRule type="cellIs" dxfId="23" priority="1" operator="equal">
      <formula>"Wrong"</formula>
    </cfRule>
    <cfRule type="cellIs" dxfId="22" priority="2" operator="equal">
      <formula>"Right"</formula>
    </cfRule>
  </conditionalFormatting>
  <dataValidations count="3">
    <dataValidation type="list" allowBlank="1" showInputMessage="1" sqref="F4:F43" xr:uid="{DC138778-3D3E-4BCB-B623-DAAEBE17FAA7}">
      <formula1>Confidence_Count</formula1>
    </dataValidation>
    <dataValidation type="list" errorStyle="warning" allowBlank="1" showInputMessage="1" sqref="E4:E43" xr:uid="{9137202C-68CF-404C-8F44-A92433317B34}">
      <formula1>$C4:$D4</formula1>
    </dataValidation>
    <dataValidation type="list" allowBlank="1" showInputMessage="1" showErrorMessage="1" sqref="E44" xr:uid="{5FB87EB7-AF34-43EE-A95A-B472B94CA9CC}">
      <formula1>"LSU,Ohio State,Clemson,Oklahoma"</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04650-10F0-42CC-B80B-8ADEDF44F6D2}">
  <sheetPr codeName="Sheet17"/>
  <dimension ref="A1:S44"/>
  <sheetViews>
    <sheetView showGridLines="0" topLeftCell="A7" workbookViewId="0">
      <selection sqref="A1:A2"/>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ht="14.5" customHeight="1" x14ac:dyDescent="0.35">
      <c r="A1" s="105" t="s">
        <v>0</v>
      </c>
      <c r="B1" s="105" t="str">
        <f>IF(ISBLANK([6]Instructions!G3),"",[6]Instructions!G3)</f>
        <v>Kent</v>
      </c>
      <c r="F1" s="107" t="s">
        <v>1</v>
      </c>
      <c r="G1" s="105" t="str">
        <f>IF(ISBLANK([6]Instructions!G4),"",[6]Instructions!G4)</f>
        <v>Yes</v>
      </c>
      <c r="H1">
        <v>1</v>
      </c>
      <c r="I1" s="1" t="str">
        <f t="shared" ref="I1:I40" si="0">IF(COUNTIF($F$4:$F$43,H1)&gt;=1,"",ROW())</f>
        <v/>
      </c>
      <c r="J1" s="1" t="str" cm="1">
        <f t="array" ref="J1">IF(ROW(G4)-ROW(G$4)+1&gt;COUNT(I$1:I$40),"",INDEX(H:H,SMALL(I$1:I$40,1+ROW(G4)-ROW(G$4))))</f>
        <v/>
      </c>
    </row>
    <row r="2" spans="1:19" ht="15" customHeight="1"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3" t="s">
        <v>2</v>
      </c>
      <c r="B3" s="3" t="s">
        <v>3</v>
      </c>
      <c r="C3" s="109" t="s">
        <v>4</v>
      </c>
      <c r="D3" s="109"/>
      <c r="E3" s="3" t="s">
        <v>5</v>
      </c>
      <c r="F3" s="3" t="s">
        <v>6</v>
      </c>
      <c r="G3" s="3" t="s">
        <v>7</v>
      </c>
      <c r="H3">
        <v>3</v>
      </c>
      <c r="I3" s="1" t="str">
        <f t="shared" si="0"/>
        <v/>
      </c>
      <c r="J3" s="1" t="str" cm="1">
        <f t="array" ref="J3">IF(ROW(G6)-ROW(G$4)+1&gt;COUNT(I$1:I$40),"",INDEX(H:H,SMALL(I$1:I$40,1+ROW(G6)-ROW(G$4))))</f>
        <v/>
      </c>
      <c r="P3" t="str">
        <f ca="1">_xlfn.CONCAT(COUNTIF(P4:P43,"Right")&amp;"/"&amp;(COUNTIF(P4:P43,"Right")+COUNTIF(P4:P43,"Wrong")))</f>
        <v>23/40</v>
      </c>
    </row>
    <row r="4" spans="1:19" ht="18" customHeight="1" thickTop="1" x14ac:dyDescent="0.4">
      <c r="A4" s="4">
        <v>43819</v>
      </c>
      <c r="B4" s="5" t="s">
        <v>8</v>
      </c>
      <c r="C4" s="6" t="s">
        <v>9</v>
      </c>
      <c r="D4" s="7" t="s">
        <v>10</v>
      </c>
      <c r="E4" s="8" t="s">
        <v>9</v>
      </c>
      <c r="F4" s="9">
        <v>19</v>
      </c>
      <c r="G4" s="10" t="str" cm="1">
        <f t="array" ref="G4">IF(ROW(G4)-ROW(G$4)+1&gt;COUNT(I$1:I$40),"",INDEX(H:H,SMALL(I$1:I$40,1+ROW(G4)-ROW(G$4))))</f>
        <v/>
      </c>
      <c r="H4">
        <v>4</v>
      </c>
      <c r="I4" s="1" t="str">
        <f t="shared" si="0"/>
        <v/>
      </c>
      <c r="J4" s="1" t="str" cm="1">
        <f t="array" ref="J4">IF(ROW(G7)-ROW(G$4)+1&gt;COUNT(I$1:I$40),"",INDEX(H:H,SMALL(I$1:I$40,1+ROW(G7)-ROW(G$4))))</f>
        <v/>
      </c>
      <c r="N4" s="11"/>
      <c r="P4" t="str">
        <f ca="1">IF(Summary!O5="","",IF(F4=Summary!O5,"Right","Wrong"))</f>
        <v>Right</v>
      </c>
    </row>
    <row r="5" spans="1:19" ht="18" customHeight="1" x14ac:dyDescent="0.4">
      <c r="A5" s="4">
        <v>43819</v>
      </c>
      <c r="B5" s="5" t="s">
        <v>11</v>
      </c>
      <c r="C5" s="12" t="s">
        <v>12</v>
      </c>
      <c r="D5" s="13" t="s">
        <v>13</v>
      </c>
      <c r="E5" s="8" t="s">
        <v>13</v>
      </c>
      <c r="F5" s="9">
        <v>2</v>
      </c>
      <c r="G5" s="10" t="str" cm="1">
        <f t="array" ref="G5">IF(ROW(G5)-ROW(G$4)+1&gt;COUNT(I$1:I$40),"",INDEX(H:H,SMALL(I$1:I$40,1+ROW(G5)-ROW(G$4))))</f>
        <v/>
      </c>
      <c r="H5">
        <v>5</v>
      </c>
      <c r="I5" s="1" t="str">
        <f t="shared" si="0"/>
        <v/>
      </c>
      <c r="J5" s="1" t="str" cm="1">
        <f t="array" ref="J5">IF(ROW(G8)-ROW(G$4)+1&gt;COUNT(I$1:I$40),"",INDEX(H:H,SMALL(I$1:I$40,1+ROW(G8)-ROW(G$4))))</f>
        <v/>
      </c>
      <c r="P5" t="str">
        <f ca="1">IF(Summary!O6="","",IF(F5=Summary!O6,"Right","Wrong"))</f>
        <v>Right</v>
      </c>
    </row>
    <row r="6" spans="1:19" ht="18" customHeight="1" x14ac:dyDescent="0.4">
      <c r="A6" s="4">
        <v>43820</v>
      </c>
      <c r="B6" s="5" t="s">
        <v>14</v>
      </c>
      <c r="C6" s="12" t="s">
        <v>15</v>
      </c>
      <c r="D6" s="13" t="s">
        <v>16</v>
      </c>
      <c r="E6" s="8" t="s">
        <v>16</v>
      </c>
      <c r="F6" s="9">
        <v>3</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IF(Summary!O7="","",IF(F6=Summary!O7,"Right","Wrong"))</f>
        <v>Right</v>
      </c>
    </row>
    <row r="7" spans="1:19" ht="18" customHeight="1" x14ac:dyDescent="0.4">
      <c r="A7" s="4">
        <v>43820</v>
      </c>
      <c r="B7" s="5" t="s">
        <v>17</v>
      </c>
      <c r="C7" s="12" t="s">
        <v>18</v>
      </c>
      <c r="D7" s="13" t="s">
        <v>19</v>
      </c>
      <c r="E7" s="8" t="s">
        <v>19</v>
      </c>
      <c r="F7" s="9">
        <v>22</v>
      </c>
      <c r="G7" s="10" t="str" cm="1">
        <f t="array" ref="G7">IF(ROW(G7)-ROW(G$4)+1&gt;COUNT(I$1:I$40),"",INDEX(H:H,SMALL(I$1:I$40,1+ROW(G7)-ROW(G$4))))</f>
        <v/>
      </c>
      <c r="H7">
        <v>7</v>
      </c>
      <c r="I7" s="1" t="str">
        <f t="shared" si="0"/>
        <v/>
      </c>
      <c r="J7" s="1" t="str" cm="1">
        <f t="array" ref="J7">IF(ROW(G10)-ROW(G$4)+1&gt;COUNT(I$1:I$40),"",INDEX(H:H,SMALL(I$1:I$40,1+ROW(G10)-ROW(G$4))))</f>
        <v/>
      </c>
      <c r="P7" t="str">
        <f ca="1">IF(Summary!O8="","",IF(F7=Summary!O8,"Right","Wrong"))</f>
        <v>Wrong</v>
      </c>
      <c r="R7" s="103"/>
      <c r="S7" s="103"/>
    </row>
    <row r="8" spans="1:19" ht="18" customHeight="1" x14ac:dyDescent="0.4">
      <c r="A8" s="4">
        <v>43820</v>
      </c>
      <c r="B8" s="5" t="s">
        <v>20</v>
      </c>
      <c r="C8" s="12" t="s">
        <v>21</v>
      </c>
      <c r="D8" s="13" t="s">
        <v>22</v>
      </c>
      <c r="E8" s="8" t="s">
        <v>21</v>
      </c>
      <c r="F8" s="9">
        <v>28</v>
      </c>
      <c r="G8" s="10" t="str" cm="1">
        <f t="array" ref="G8">IF(ROW(G8)-ROW(G$4)+1&gt;COUNT(I$1:I$40),"",INDEX(H:H,SMALL(I$1:I$40,1+ROW(G8)-ROW(G$4))))</f>
        <v/>
      </c>
      <c r="H8">
        <v>8</v>
      </c>
      <c r="I8" s="1" t="str">
        <f t="shared" si="0"/>
        <v/>
      </c>
      <c r="J8" s="1" t="str" cm="1">
        <f t="array" ref="J8">IF(ROW(G11)-ROW(G$4)+1&gt;COUNT(I$1:I$40),"",INDEX(H:H,SMALL(I$1:I$40,1+ROW(G11)-ROW(G$4))))</f>
        <v/>
      </c>
      <c r="P8" t="str">
        <f ca="1">IF(Summary!O9="","",IF(F8=Summary!O9,"Right","Wrong"))</f>
        <v>Wrong</v>
      </c>
      <c r="R8" s="103"/>
      <c r="S8" s="103"/>
    </row>
    <row r="9" spans="1:19" ht="18" customHeight="1" x14ac:dyDescent="0.4">
      <c r="A9" s="4">
        <v>43820</v>
      </c>
      <c r="B9" s="5" t="s">
        <v>23</v>
      </c>
      <c r="C9" s="12" t="s">
        <v>24</v>
      </c>
      <c r="D9" s="13" t="s">
        <v>25</v>
      </c>
      <c r="E9" s="8" t="s">
        <v>24</v>
      </c>
      <c r="F9" s="9">
        <v>4</v>
      </c>
      <c r="G9" s="10" t="str" cm="1">
        <f t="array" ref="G9">IF(ROW(G9)-ROW(G$4)+1&gt;COUNT(I$1:I$40),"",INDEX(H:H,SMALL(I$1:I$40,1+ROW(G9)-ROW(G$4))))</f>
        <v/>
      </c>
      <c r="H9">
        <v>9</v>
      </c>
      <c r="I9" s="1" t="str">
        <f t="shared" si="0"/>
        <v/>
      </c>
      <c r="J9" s="1" t="str" cm="1">
        <f t="array" ref="J9">IF(ROW(G12)-ROW(G$4)+1&gt;COUNT(I$1:I$40),"",INDEX(H:H,SMALL(I$1:I$40,1+ROW(G12)-ROW(G$4))))</f>
        <v/>
      </c>
      <c r="P9" t="str">
        <f ca="1">IF(Summary!O10="","",IF(F9=Summary!O10,"Right","Wrong"))</f>
        <v>Wrong</v>
      </c>
    </row>
    <row r="10" spans="1:19" ht="18" customHeight="1" x14ac:dyDescent="0.4">
      <c r="A10" s="4">
        <v>43820</v>
      </c>
      <c r="B10" s="5" t="s">
        <v>26</v>
      </c>
      <c r="C10" s="12" t="s">
        <v>27</v>
      </c>
      <c r="D10" s="13" t="s">
        <v>28</v>
      </c>
      <c r="E10" s="8" t="s">
        <v>28</v>
      </c>
      <c r="F10" s="9">
        <v>29</v>
      </c>
      <c r="G10" s="10" t="str" cm="1">
        <f t="array" ref="G10">IF(ROW(G10)-ROW(G$4)+1&gt;COUNT(I$1:I$40),"",INDEX(H:H,SMALL(I$1:I$40,1+ROW(G10)-ROW(G$4))))</f>
        <v/>
      </c>
      <c r="H10">
        <v>10</v>
      </c>
      <c r="I10" s="1" t="str">
        <f t="shared" si="0"/>
        <v/>
      </c>
      <c r="J10" s="1" t="str" cm="1">
        <f t="array" ref="J10">IF(ROW(G13)-ROW(G$4)+1&gt;COUNT(I$1:I$40),"",INDEX(H:H,SMALL(I$1:I$40,1+ROW(G13)-ROW(G$4))))</f>
        <v/>
      </c>
      <c r="P10" t="str">
        <f ca="1">IF(Summary!O11="","",IF(F10=Summary!O11,"Right","Wrong"))</f>
        <v>Right</v>
      </c>
    </row>
    <row r="11" spans="1:19" ht="18" customHeight="1" x14ac:dyDescent="0.4">
      <c r="A11" s="4">
        <v>43820</v>
      </c>
      <c r="B11" s="5" t="s">
        <v>29</v>
      </c>
      <c r="C11" s="12" t="s">
        <v>30</v>
      </c>
      <c r="D11" s="13" t="s">
        <v>31</v>
      </c>
      <c r="E11" s="8" t="s">
        <v>31</v>
      </c>
      <c r="F11" s="9">
        <v>33</v>
      </c>
      <c r="G11" s="10" t="str" cm="1">
        <f t="array" ref="G11">IF(ROW(G11)-ROW(G$4)+1&gt;COUNT(I$1:I$40),"",INDEX(H:H,SMALL(I$1:I$40,1+ROW(G11)-ROW(G$4))))</f>
        <v/>
      </c>
      <c r="H11">
        <v>11</v>
      </c>
      <c r="I11" s="1" t="str">
        <f t="shared" si="0"/>
        <v/>
      </c>
      <c r="J11" s="1" t="str" cm="1">
        <f t="array" ref="J11">IF(ROW(G14)-ROW(G$4)+1&gt;COUNT(I$1:I$40),"",INDEX(H:H,SMALL(I$1:I$40,1+ROW(G14)-ROW(G$4))))</f>
        <v/>
      </c>
      <c r="P11" t="str">
        <f ca="1">IF(Summary!O12="","",IF(F11=Summary!O12,"Right","Wrong"))</f>
        <v>Wrong</v>
      </c>
    </row>
    <row r="12" spans="1:19" ht="18" customHeight="1" x14ac:dyDescent="0.4">
      <c r="A12" s="4">
        <v>43820</v>
      </c>
      <c r="B12" s="5" t="s">
        <v>32</v>
      </c>
      <c r="C12" s="12" t="s">
        <v>33</v>
      </c>
      <c r="D12" s="13" t="s">
        <v>34</v>
      </c>
      <c r="E12" s="8" t="s">
        <v>33</v>
      </c>
      <c r="F12" s="9">
        <v>5</v>
      </c>
      <c r="G12" s="10" t="str" cm="1">
        <f t="array" ref="G12">IF(ROW(G12)-ROW(G$4)+1&gt;COUNT(I$1:I$40),"",INDEX(H:H,SMALL(I$1:I$40,1+ROW(G12)-ROW(G$4))))</f>
        <v/>
      </c>
      <c r="H12">
        <v>12</v>
      </c>
      <c r="I12" s="1" t="str">
        <f t="shared" si="0"/>
        <v/>
      </c>
      <c r="J12" s="1" t="str" cm="1">
        <f t="array" ref="J12">IF(ROW(G15)-ROW(G$4)+1&gt;COUNT(I$1:I$40),"",INDEX(H:H,SMALL(I$1:I$40,1+ROW(G15)-ROW(G$4))))</f>
        <v/>
      </c>
      <c r="P12" t="str">
        <f ca="1">IF(Summary!O13="","",IF(F12=Summary!O13,"Right","Wrong"))</f>
        <v>Right</v>
      </c>
    </row>
    <row r="13" spans="1:19" ht="18" customHeight="1" x14ac:dyDescent="0.4">
      <c r="A13" s="4">
        <v>43822</v>
      </c>
      <c r="B13" s="5" t="s">
        <v>35</v>
      </c>
      <c r="C13" s="12" t="s">
        <v>36</v>
      </c>
      <c r="D13" s="13" t="s">
        <v>37</v>
      </c>
      <c r="E13" s="8" t="s">
        <v>36</v>
      </c>
      <c r="F13" s="9">
        <v>21</v>
      </c>
      <c r="G13" s="10" t="str" cm="1">
        <f t="array" ref="G13">IF(ROW(G13)-ROW(G$4)+1&gt;COUNT(I$1:I$40),"",INDEX(H:H,SMALL(I$1:I$40,1+ROW(G13)-ROW(G$4))))</f>
        <v/>
      </c>
      <c r="H13">
        <v>13</v>
      </c>
      <c r="I13" s="1" t="str">
        <f t="shared" si="0"/>
        <v/>
      </c>
      <c r="J13" s="1" t="str" cm="1">
        <f t="array" ref="J13">IF(ROW(G16)-ROW(G$4)+1&gt;COUNT(I$1:I$40),"",INDEX(H:H,SMALL(I$1:I$40,1+ROW(G16)-ROW(G$4))))</f>
        <v/>
      </c>
      <c r="P13" t="str">
        <f ca="1">IF(Summary!O14="","",IF(F13=Summary!O14,"Right","Wrong"))</f>
        <v>Right</v>
      </c>
    </row>
    <row r="14" spans="1:19" ht="18" customHeight="1" x14ac:dyDescent="0.4">
      <c r="A14" s="4">
        <v>43823</v>
      </c>
      <c r="B14" s="5" t="s">
        <v>38</v>
      </c>
      <c r="C14" s="12" t="s">
        <v>39</v>
      </c>
      <c r="D14" s="13" t="s">
        <v>40</v>
      </c>
      <c r="E14" s="8" t="s">
        <v>39</v>
      </c>
      <c r="F14" s="9">
        <v>23</v>
      </c>
      <c r="G14" s="10" t="str" cm="1">
        <f t="array" ref="G14">IF(ROW(G14)-ROW(G$4)+1&gt;COUNT(I$1:I$40),"",INDEX(H:H,SMALL(I$1:I$40,1+ROW(G14)-ROW(G$4))))</f>
        <v/>
      </c>
      <c r="H14">
        <v>14</v>
      </c>
      <c r="I14" s="1" t="str">
        <f t="shared" si="0"/>
        <v/>
      </c>
      <c r="J14" s="1" t="str" cm="1">
        <f t="array" ref="J14">IF(ROW(G17)-ROW(G$4)+1&gt;COUNT(I$1:I$40),"",INDEX(H:H,SMALL(I$1:I$40,1+ROW(G17)-ROW(G$4))))</f>
        <v/>
      </c>
      <c r="P14" t="str">
        <f ca="1">IF(Summary!O15="","",IF(F14=Summary!O15,"Right","Wrong"))</f>
        <v>Right</v>
      </c>
    </row>
    <row r="15" spans="1:19" ht="18" customHeight="1" x14ac:dyDescent="0.4">
      <c r="A15" s="4">
        <v>43825</v>
      </c>
      <c r="B15" s="5" t="s">
        <v>41</v>
      </c>
      <c r="C15" s="12" t="s">
        <v>42</v>
      </c>
      <c r="D15" s="13" t="s">
        <v>43</v>
      </c>
      <c r="E15" s="8" t="s">
        <v>43</v>
      </c>
      <c r="F15" s="9">
        <v>12</v>
      </c>
      <c r="G15" s="10" t="str" cm="1">
        <f t="array" ref="G15">IF(ROW(G15)-ROW(G$4)+1&gt;COUNT(I$1:I$40),"",INDEX(H:H,SMALL(I$1:I$40,1+ROW(G15)-ROW(G$4))))</f>
        <v/>
      </c>
      <c r="H15">
        <v>15</v>
      </c>
      <c r="I15" s="1" t="str">
        <f t="shared" si="0"/>
        <v/>
      </c>
      <c r="J15" s="1" t="str" cm="1">
        <f t="array" ref="J15">IF(ROW(G18)-ROW(G$4)+1&gt;COUNT(I$1:I$40),"",INDEX(H:H,SMALL(I$1:I$40,1+ROW(G18)-ROW(G$4))))</f>
        <v/>
      </c>
      <c r="P15" t="str">
        <f ca="1">IF(Summary!O16="","",IF(F15=Summary!O16,"Right","Wrong"))</f>
        <v>Right</v>
      </c>
    </row>
    <row r="16" spans="1:19" ht="18" customHeight="1" x14ac:dyDescent="0.4">
      <c r="A16" s="4">
        <v>43825</v>
      </c>
      <c r="B16" s="5" t="s">
        <v>44</v>
      </c>
      <c r="C16" s="12" t="s">
        <v>45</v>
      </c>
      <c r="D16" s="13" t="s">
        <v>46</v>
      </c>
      <c r="E16" s="8" t="s">
        <v>46</v>
      </c>
      <c r="F16" s="9">
        <v>30</v>
      </c>
      <c r="G16" s="10" t="str" cm="1">
        <f t="array" ref="G16">IF(ROW(G16)-ROW(G$4)+1&gt;COUNT(I$1:I$40),"",INDEX(H:H,SMALL(I$1:I$40,1+ROW(G16)-ROW(G$4))))</f>
        <v/>
      </c>
      <c r="H16">
        <v>16</v>
      </c>
      <c r="I16" s="1" t="str">
        <f t="shared" si="0"/>
        <v/>
      </c>
      <c r="J16" s="1" t="str" cm="1">
        <f t="array" ref="J16">IF(ROW(G19)-ROW(G$4)+1&gt;COUNT(I$1:I$40),"",INDEX(H:H,SMALL(I$1:I$40,1+ROW(G19)-ROW(G$4))))</f>
        <v/>
      </c>
      <c r="P16" t="str">
        <f ca="1">IF(Summary!O17="","",IF(F16=Summary!O17,"Right","Wrong"))</f>
        <v>Wrong</v>
      </c>
    </row>
    <row r="17" spans="1:16" ht="18" customHeight="1" x14ac:dyDescent="0.4">
      <c r="A17" s="4">
        <v>43826</v>
      </c>
      <c r="B17" s="5" t="s">
        <v>47</v>
      </c>
      <c r="C17" s="12" t="s">
        <v>48</v>
      </c>
      <c r="D17" s="13" t="s">
        <v>49</v>
      </c>
      <c r="E17" s="8" t="s">
        <v>48</v>
      </c>
      <c r="F17" s="9">
        <v>6</v>
      </c>
      <c r="G17" s="10" t="str" cm="1">
        <f t="array" ref="G17">IF(ROW(G17)-ROW(G$4)+1&gt;COUNT(I$1:I$40),"",INDEX(H:H,SMALL(I$1:I$40,1+ROW(G17)-ROW(G$4))))</f>
        <v/>
      </c>
      <c r="H17">
        <v>17</v>
      </c>
      <c r="I17" s="1" t="str">
        <f t="shared" si="0"/>
        <v/>
      </c>
      <c r="J17" s="1" t="str" cm="1">
        <f t="array" ref="J17">IF(ROW(G20)-ROW(G$4)+1&gt;COUNT(I$1:I$40),"",INDEX(H:H,SMALL(I$1:I$40,1+ROW(G20)-ROW(G$4))))</f>
        <v/>
      </c>
      <c r="P17" t="str">
        <f ca="1">IF(Summary!O18="","",IF(F17=Summary!O18,"Right","Wrong"))</f>
        <v>Right</v>
      </c>
    </row>
    <row r="18" spans="1:16" ht="18" customHeight="1" x14ac:dyDescent="0.4">
      <c r="A18" s="4">
        <v>43826</v>
      </c>
      <c r="B18" s="5" t="s">
        <v>50</v>
      </c>
      <c r="C18" s="12" t="s">
        <v>51</v>
      </c>
      <c r="D18" s="13" t="s">
        <v>52</v>
      </c>
      <c r="E18" s="8" t="s">
        <v>52</v>
      </c>
      <c r="F18" s="9">
        <v>34</v>
      </c>
      <c r="G18" s="10" t="str" cm="1">
        <f t="array" ref="G18">IF(ROW(G18)-ROW(G$4)+1&gt;COUNT(I$1:I$40),"",INDEX(H:H,SMALL(I$1:I$40,1+ROW(G18)-ROW(G$4))))</f>
        <v/>
      </c>
      <c r="H18">
        <v>18</v>
      </c>
      <c r="I18" s="1" t="str">
        <f t="shared" si="0"/>
        <v/>
      </c>
      <c r="J18" s="1" t="str" cm="1">
        <f t="array" ref="J18">IF(ROW(G21)-ROW(G$4)+1&gt;COUNT(I$1:I$40),"",INDEX(H:H,SMALL(I$1:I$40,1+ROW(G21)-ROW(G$4))))</f>
        <v/>
      </c>
      <c r="P18" t="str">
        <f ca="1">IF(Summary!O19="","",IF(F18=Summary!O19,"Right","Wrong"))</f>
        <v>Right</v>
      </c>
    </row>
    <row r="19" spans="1:16" ht="18" customHeight="1" x14ac:dyDescent="0.4">
      <c r="A19" s="4">
        <v>43826</v>
      </c>
      <c r="B19" s="5" t="s">
        <v>53</v>
      </c>
      <c r="C19" s="12" t="s">
        <v>54</v>
      </c>
      <c r="D19" s="13" t="s">
        <v>55</v>
      </c>
      <c r="E19" s="8" t="s">
        <v>54</v>
      </c>
      <c r="F19" s="9">
        <v>35</v>
      </c>
      <c r="G19" s="10" t="str" cm="1">
        <f t="array" ref="G19">IF(ROW(G19)-ROW(G$4)+1&gt;COUNT(I$1:I$40),"",INDEX(H:H,SMALL(I$1:I$40,1+ROW(G19)-ROW(G$4))))</f>
        <v/>
      </c>
      <c r="H19">
        <v>19</v>
      </c>
      <c r="I19" s="1" t="str">
        <f t="shared" si="0"/>
        <v/>
      </c>
      <c r="J19" s="1" t="str" cm="1">
        <f t="array" ref="J19">IF(ROW(G22)-ROW(G$4)+1&gt;COUNT(I$1:I$40),"",INDEX(H:H,SMALL(I$1:I$40,1+ROW(G22)-ROW(G$4))))</f>
        <v/>
      </c>
      <c r="P19" t="str">
        <f ca="1">IF(Summary!O20="","",IF(F19=Summary!O20,"Right","Wrong"))</f>
        <v>Wrong</v>
      </c>
    </row>
    <row r="20" spans="1:16" ht="18" customHeight="1" x14ac:dyDescent="0.4">
      <c r="A20" s="4">
        <v>43826</v>
      </c>
      <c r="B20" s="5" t="s">
        <v>56</v>
      </c>
      <c r="C20" s="12" t="s">
        <v>57</v>
      </c>
      <c r="D20" s="13" t="s">
        <v>58</v>
      </c>
      <c r="E20" s="8" t="s">
        <v>58</v>
      </c>
      <c r="F20" s="9">
        <v>36</v>
      </c>
      <c r="G20" s="10" t="str" cm="1">
        <f t="array" ref="G20">IF(ROW(G20)-ROW(G$4)+1&gt;COUNT(I$1:I$40),"",INDEX(H:H,SMALL(I$1:I$40,1+ROW(G20)-ROW(G$4))))</f>
        <v/>
      </c>
      <c r="H20">
        <v>20</v>
      </c>
      <c r="I20" s="1" t="str">
        <f t="shared" si="0"/>
        <v/>
      </c>
      <c r="J20" s="1" t="str" cm="1">
        <f t="array" ref="J20">IF(ROW(G23)-ROW(G$4)+1&gt;COUNT(I$1:I$40),"",INDEX(H:H,SMALL(I$1:I$40,1+ROW(G23)-ROW(G$4))))</f>
        <v/>
      </c>
      <c r="P20" t="str">
        <f ca="1">IF(Summary!O21="","",IF(F20=Summary!O21,"Right","Wrong"))</f>
        <v>Right</v>
      </c>
    </row>
    <row r="21" spans="1:16" ht="18" customHeight="1" x14ac:dyDescent="0.4">
      <c r="A21" s="4">
        <v>43826</v>
      </c>
      <c r="B21" s="5" t="s">
        <v>59</v>
      </c>
      <c r="C21" s="12" t="s">
        <v>60</v>
      </c>
      <c r="D21" s="13" t="s">
        <v>61</v>
      </c>
      <c r="E21" s="8" t="s">
        <v>60</v>
      </c>
      <c r="F21" s="9">
        <v>20</v>
      </c>
      <c r="G21" s="10" t="str" cm="1">
        <f t="array" ref="G21">IF(ROW(G21)-ROW(G$4)+1&gt;COUNT(I$1:I$40),"",INDEX(H:H,SMALL(I$1:I$40,1+ROW(G21)-ROW(G$4))))</f>
        <v/>
      </c>
      <c r="H21">
        <v>21</v>
      </c>
      <c r="I21" s="1" t="str">
        <f t="shared" si="0"/>
        <v/>
      </c>
      <c r="J21" s="1" t="str" cm="1">
        <f t="array" ref="J21">IF(ROW(G24)-ROW(G$4)+1&gt;COUNT(I$1:I$40),"",INDEX(H:H,SMALL(I$1:I$40,1+ROW(G24)-ROW(G$4))))</f>
        <v/>
      </c>
      <c r="P21" t="str">
        <f ca="1">IF(Summary!O22="","",IF(F21=Summary!O22,"Right","Wrong"))</f>
        <v>Right</v>
      </c>
    </row>
    <row r="22" spans="1:16" ht="18" customHeight="1" x14ac:dyDescent="0.4">
      <c r="A22" s="4">
        <v>43827</v>
      </c>
      <c r="B22" s="5" t="s">
        <v>62</v>
      </c>
      <c r="C22" s="12" t="s">
        <v>63</v>
      </c>
      <c r="D22" s="13" t="s">
        <v>64</v>
      </c>
      <c r="E22" s="8" t="s">
        <v>63</v>
      </c>
      <c r="F22" s="9">
        <v>37</v>
      </c>
      <c r="G22" s="10" t="str" cm="1">
        <f t="array" ref="G22">IF(ROW(G22)-ROW(G$4)+1&gt;COUNT(I$1:I$40),"",INDEX(H:H,SMALL(I$1:I$40,1+ROW(G22)-ROW(G$4))))</f>
        <v/>
      </c>
      <c r="H22">
        <v>22</v>
      </c>
      <c r="I22" s="1" t="str">
        <f t="shared" si="0"/>
        <v/>
      </c>
      <c r="J22" s="1" t="str" cm="1">
        <f t="array" ref="J22">IF(ROW(G25)-ROW(G$4)+1&gt;COUNT(I$1:I$40),"",INDEX(H:H,SMALL(I$1:I$40,1+ROW(G25)-ROW(G$4))))</f>
        <v/>
      </c>
      <c r="P22" t="str">
        <f ca="1">IF(Summary!O23="","",IF(F22=Summary!O23,"Right","Wrong"))</f>
        <v>Right</v>
      </c>
    </row>
    <row r="23" spans="1:16" ht="18" customHeight="1" x14ac:dyDescent="0.4">
      <c r="A23" s="4">
        <v>43827</v>
      </c>
      <c r="B23" s="5" t="s">
        <v>65</v>
      </c>
      <c r="C23" s="12" t="s">
        <v>66</v>
      </c>
      <c r="D23" s="13" t="s">
        <v>67</v>
      </c>
      <c r="E23" s="8" t="s">
        <v>66</v>
      </c>
      <c r="F23" s="9">
        <v>38</v>
      </c>
      <c r="G23" s="10" t="str" cm="1">
        <f t="array" ref="G23">IF(ROW(G23)-ROW(G$4)+1&gt;COUNT(I$1:I$40),"",INDEX(H:H,SMALL(I$1:I$40,1+ROW(G23)-ROW(G$4))))</f>
        <v/>
      </c>
      <c r="H23">
        <v>23</v>
      </c>
      <c r="I23" s="1" t="str">
        <f t="shared" si="0"/>
        <v/>
      </c>
      <c r="J23" s="1" t="str" cm="1">
        <f t="array" ref="J23">IF(ROW(G26)-ROW(G$4)+1&gt;COUNT(I$1:I$40),"",INDEX(H:H,SMALL(I$1:I$40,1+ROW(G26)-ROW(G$4))))</f>
        <v/>
      </c>
      <c r="P23" t="str">
        <f ca="1">IF(Summary!O24="","",IF(F23=Summary!O24,"Right","Wrong"))</f>
        <v>Right</v>
      </c>
    </row>
    <row r="24" spans="1:16" ht="18" customHeight="1" x14ac:dyDescent="0.4">
      <c r="A24" s="4">
        <v>43827</v>
      </c>
      <c r="B24" s="5" t="s">
        <v>68</v>
      </c>
      <c r="C24" s="12" t="s">
        <v>69</v>
      </c>
      <c r="D24" s="13" t="s">
        <v>70</v>
      </c>
      <c r="E24" s="8" t="s">
        <v>69</v>
      </c>
      <c r="F24" s="9">
        <v>40</v>
      </c>
      <c r="G24" s="10" t="str" cm="1">
        <f t="array" ref="G24">IF(ROW(G24)-ROW(G$4)+1&gt;COUNT(I$1:I$40),"",INDEX(H:H,SMALL(I$1:I$40,1+ROW(G24)-ROW(G$4))))</f>
        <v/>
      </c>
      <c r="H24">
        <v>24</v>
      </c>
      <c r="I24" s="1" t="str">
        <f t="shared" si="0"/>
        <v/>
      </c>
      <c r="J24" s="1" t="str" cm="1">
        <f t="array" ref="J24">IF(ROW(G27)-ROW(G$4)+1&gt;COUNT(I$1:I$40),"",INDEX(H:H,SMALL(I$1:I$40,1+ROW(G27)-ROW(G$4))))</f>
        <v/>
      </c>
      <c r="P24" t="str">
        <f ca="1">IF(Summary!O25="","",IF(F24=Summary!O25,"Right","Wrong"))</f>
        <v>Right</v>
      </c>
    </row>
    <row r="25" spans="1:16" ht="18" customHeight="1" x14ac:dyDescent="0.4">
      <c r="A25" s="4">
        <v>43827</v>
      </c>
      <c r="B25" s="5" t="s">
        <v>71</v>
      </c>
      <c r="C25" s="12" t="s">
        <v>72</v>
      </c>
      <c r="D25" s="13" t="s">
        <v>73</v>
      </c>
      <c r="E25" s="8" t="s">
        <v>72</v>
      </c>
      <c r="F25" s="9">
        <v>39</v>
      </c>
      <c r="G25" s="10" t="str" cm="1">
        <f t="array" ref="G25">IF(ROW(G25)-ROW(G$4)+1&gt;COUNT(I$1:I$40),"",INDEX(H:H,SMALL(I$1:I$40,1+ROW(G25)-ROW(G$4))))</f>
        <v/>
      </c>
      <c r="H25">
        <v>25</v>
      </c>
      <c r="I25" s="1" t="str">
        <f t="shared" si="0"/>
        <v/>
      </c>
      <c r="J25" s="1" t="str" cm="1">
        <f t="array" ref="J25">IF(ROW(G28)-ROW(G$4)+1&gt;COUNT(I$1:I$40),"",INDEX(H:H,SMALL(I$1:I$40,1+ROW(G28)-ROW(G$4))))</f>
        <v/>
      </c>
      <c r="P25" t="str">
        <f ca="1">IF(Summary!O26="","",IF(F25=Summary!O26,"Right","Wrong"))</f>
        <v>Wrong</v>
      </c>
    </row>
    <row r="26" spans="1:16" ht="18" customHeight="1" x14ac:dyDescent="0.4">
      <c r="A26" s="4">
        <v>43829</v>
      </c>
      <c r="B26" s="5" t="s">
        <v>74</v>
      </c>
      <c r="C26" s="12" t="s">
        <v>75</v>
      </c>
      <c r="D26" s="13" t="s">
        <v>76</v>
      </c>
      <c r="E26" s="8" t="s">
        <v>75</v>
      </c>
      <c r="F26" s="9">
        <v>25</v>
      </c>
      <c r="G26" s="10" t="str" cm="1">
        <f t="array" ref="G26">IF(ROW(G26)-ROW(G$4)+1&gt;COUNT(I$1:I$40),"",INDEX(H:H,SMALL(I$1:I$40,1+ROW(G26)-ROW(G$4))))</f>
        <v/>
      </c>
      <c r="H26">
        <v>26</v>
      </c>
      <c r="I26" s="1" t="str">
        <f t="shared" si="0"/>
        <v/>
      </c>
      <c r="J26" s="1" t="str" cm="1">
        <f t="array" ref="J26">IF(ROW(G29)-ROW(G$4)+1&gt;COUNT(I$1:I$40),"",INDEX(H:H,SMALL(I$1:I$40,1+ROW(G29)-ROW(G$4))))</f>
        <v/>
      </c>
      <c r="P26" t="str">
        <f ca="1">IF(Summary!O27="","",IF(F26=Summary!O27,"Right","Wrong"))</f>
        <v>Right</v>
      </c>
    </row>
    <row r="27" spans="1:16" ht="18" customHeight="1" x14ac:dyDescent="0.4">
      <c r="A27" s="4">
        <v>43829</v>
      </c>
      <c r="B27" s="5" t="s">
        <v>77</v>
      </c>
      <c r="C27" s="12" t="s">
        <v>78</v>
      </c>
      <c r="D27" s="13" t="s">
        <v>148</v>
      </c>
      <c r="E27" s="8" t="s">
        <v>148</v>
      </c>
      <c r="F27" s="9">
        <v>7</v>
      </c>
      <c r="G27" s="10" t="str" cm="1">
        <f t="array" ref="G27">IF(ROW(G27)-ROW(G$4)+1&gt;COUNT(I$1:I$40),"",INDEX(H:H,SMALL(I$1:I$40,1+ROW(G27)-ROW(G$4))))</f>
        <v/>
      </c>
      <c r="H27">
        <v>27</v>
      </c>
      <c r="I27" s="1" t="str">
        <f t="shared" si="0"/>
        <v/>
      </c>
      <c r="J27" s="1" t="str" cm="1">
        <f t="array" ref="J27">IF(ROW(G30)-ROW(G$4)+1&gt;COUNT(I$1:I$40),"",INDEX(H:H,SMALL(I$1:I$40,1+ROW(G30)-ROW(G$4))))</f>
        <v/>
      </c>
      <c r="P27" t="str">
        <f ca="1">IF(Summary!O28="","",IF(F27=Summary!O28,"Right","Wrong"))</f>
        <v>Right</v>
      </c>
    </row>
    <row r="28" spans="1:16" ht="18" customHeight="1" x14ac:dyDescent="0.4">
      <c r="A28" s="4">
        <v>43829</v>
      </c>
      <c r="B28" s="5" t="s">
        <v>80</v>
      </c>
      <c r="C28" s="12" t="s">
        <v>81</v>
      </c>
      <c r="D28" s="13" t="s">
        <v>82</v>
      </c>
      <c r="E28" s="8" t="s">
        <v>81</v>
      </c>
      <c r="F28" s="9">
        <v>8</v>
      </c>
      <c r="G28" s="10" t="str" cm="1">
        <f t="array" ref="G28">IF(ROW(G28)-ROW(G$4)+1&gt;COUNT(I$1:I$40),"",INDEX(H:H,SMALL(I$1:I$40,1+ROW(G28)-ROW(G$4))))</f>
        <v/>
      </c>
      <c r="H28">
        <v>28</v>
      </c>
      <c r="I28" s="1" t="str">
        <f t="shared" si="0"/>
        <v/>
      </c>
      <c r="J28" s="1" t="str" cm="1">
        <f t="array" ref="J28">IF(ROW(G31)-ROW(G$4)+1&gt;COUNT(I$1:I$40),"",INDEX(H:H,SMALL(I$1:I$40,1+ROW(G31)-ROW(G$4))))</f>
        <v/>
      </c>
      <c r="P28" t="str">
        <f ca="1">IF(Summary!O29="","",IF(F28=Summary!O29,"Right","Wrong"))</f>
        <v>Wrong</v>
      </c>
    </row>
    <row r="29" spans="1:16" ht="18" customHeight="1" x14ac:dyDescent="0.4">
      <c r="A29" s="4">
        <v>43829</v>
      </c>
      <c r="B29" s="5" t="s">
        <v>83</v>
      </c>
      <c r="C29" s="12" t="s">
        <v>84</v>
      </c>
      <c r="D29" s="13" t="s">
        <v>85</v>
      </c>
      <c r="E29" s="8" t="s">
        <v>85</v>
      </c>
      <c r="F29" s="9">
        <v>9</v>
      </c>
      <c r="G29" s="10" t="str" cm="1">
        <f t="array" ref="G29">IF(ROW(G29)-ROW(G$4)+1&gt;COUNT(I$1:I$40),"",INDEX(H:H,SMALL(I$1:I$40,1+ROW(G29)-ROW(G$4))))</f>
        <v/>
      </c>
      <c r="H29">
        <v>29</v>
      </c>
      <c r="I29" s="1" t="str">
        <f t="shared" si="0"/>
        <v/>
      </c>
      <c r="J29" s="1" t="str" cm="1">
        <f t="array" ref="J29">IF(ROW(G32)-ROW(G$4)+1&gt;COUNT(I$1:I$40),"",INDEX(H:H,SMALL(I$1:I$40,1+ROW(G32)-ROW(G$4))))</f>
        <v/>
      </c>
      <c r="P29" t="str">
        <f ca="1">IF(Summary!O30="","",IF(F29=Summary!O30,"Right","Wrong"))</f>
        <v>Wrong</v>
      </c>
    </row>
    <row r="30" spans="1:16" ht="18" customHeight="1" x14ac:dyDescent="0.4">
      <c r="A30" s="4">
        <v>43830</v>
      </c>
      <c r="B30" s="5" t="s">
        <v>86</v>
      </c>
      <c r="C30" s="12" t="s">
        <v>87</v>
      </c>
      <c r="D30" s="13" t="s">
        <v>88</v>
      </c>
      <c r="E30" s="8" t="s">
        <v>88</v>
      </c>
      <c r="F30" s="9">
        <v>10</v>
      </c>
      <c r="G30" s="10" t="str" cm="1">
        <f t="array" ref="G30">IF(ROW(G30)-ROW(G$4)+1&gt;COUNT(I$1:I$40),"",INDEX(H:H,SMALL(I$1:I$40,1+ROW(G30)-ROW(G$4))))</f>
        <v/>
      </c>
      <c r="H30">
        <v>30</v>
      </c>
      <c r="I30" s="1" t="str">
        <f t="shared" si="0"/>
        <v/>
      </c>
      <c r="J30" s="1" t="str" cm="1">
        <f t="array" ref="J30">IF(ROW(G33)-ROW(G$4)+1&gt;COUNT(I$1:I$40),"",INDEX(H:H,SMALL(I$1:I$40,1+ROW(G33)-ROW(G$4))))</f>
        <v/>
      </c>
      <c r="P30" t="str">
        <f ca="1">IF(Summary!O31="","",IF(F30=Summary!O31,"Right","Wrong"))</f>
        <v>Wrong</v>
      </c>
    </row>
    <row r="31" spans="1:16" ht="18" customHeight="1" x14ac:dyDescent="0.4">
      <c r="A31" s="4">
        <v>43830</v>
      </c>
      <c r="B31" s="5" t="s">
        <v>89</v>
      </c>
      <c r="C31" s="12" t="s">
        <v>90</v>
      </c>
      <c r="D31" s="13" t="s">
        <v>91</v>
      </c>
      <c r="E31" s="8" t="s">
        <v>91</v>
      </c>
      <c r="F31" s="9">
        <v>24</v>
      </c>
      <c r="G31" s="10" t="str" cm="1">
        <f t="array" ref="G31">IF(ROW(G31)-ROW(G$4)+1&gt;COUNT(I$1:I$40),"",INDEX(H:H,SMALL(I$1:I$40,1+ROW(G31)-ROW(G$4))))</f>
        <v/>
      </c>
      <c r="H31">
        <v>31</v>
      </c>
      <c r="I31" s="1" t="str">
        <f t="shared" si="0"/>
        <v/>
      </c>
      <c r="J31" s="1" t="str" cm="1">
        <f t="array" ref="J31">IF(ROW(G34)-ROW(G$4)+1&gt;COUNT(I$1:I$40),"",INDEX(H:H,SMALL(I$1:I$40,1+ROW(G34)-ROW(G$4))))</f>
        <v/>
      </c>
      <c r="P31" t="str">
        <f ca="1">IF(Summary!O32="","",IF(F31=Summary!O32,"Right","Wrong"))</f>
        <v>Right</v>
      </c>
    </row>
    <row r="32" spans="1:16" ht="18" customHeight="1" x14ac:dyDescent="0.4">
      <c r="A32" s="4">
        <v>43830</v>
      </c>
      <c r="B32" s="5" t="s">
        <v>92</v>
      </c>
      <c r="C32" s="12" t="s">
        <v>93</v>
      </c>
      <c r="D32" s="13" t="s">
        <v>94</v>
      </c>
      <c r="E32" s="8" t="s">
        <v>93</v>
      </c>
      <c r="F32" s="9">
        <v>11</v>
      </c>
      <c r="G32" s="10" t="str" cm="1">
        <f t="array" ref="G32">IF(ROW(G32)-ROW(G$4)+1&gt;COUNT(I$1:I$40),"",INDEX(H:H,SMALL(I$1:I$40,1+ROW(G32)-ROW(G$4))))</f>
        <v/>
      </c>
      <c r="H32">
        <v>32</v>
      </c>
      <c r="I32" s="1" t="str">
        <f t="shared" si="0"/>
        <v/>
      </c>
      <c r="J32" s="1" t="str" cm="1">
        <f t="array" ref="J32">IF(ROW(G35)-ROW(G$4)+1&gt;COUNT(I$1:I$40),"",INDEX(H:H,SMALL(I$1:I$40,1+ROW(G35)-ROW(G$4))))</f>
        <v/>
      </c>
      <c r="P32" t="str">
        <f ca="1">IF(Summary!O33="","",IF(F32=Summary!O33,"Right","Wrong"))</f>
        <v>Right</v>
      </c>
    </row>
    <row r="33" spans="1:16" ht="18" customHeight="1" x14ac:dyDescent="0.4">
      <c r="A33" s="4">
        <v>43830</v>
      </c>
      <c r="B33" s="5" t="s">
        <v>95</v>
      </c>
      <c r="C33" s="12" t="s">
        <v>96</v>
      </c>
      <c r="D33" s="13" t="s">
        <v>97</v>
      </c>
      <c r="E33" s="8" t="s">
        <v>96</v>
      </c>
      <c r="F33" s="9">
        <v>31</v>
      </c>
      <c r="G33" s="10" t="str" cm="1">
        <f t="array" ref="G33">IF(ROW(G33)-ROW(G$4)+1&gt;COUNT(I$1:I$40),"",INDEX(H:H,SMALL(I$1:I$40,1+ROW(G33)-ROW(G$4))))</f>
        <v/>
      </c>
      <c r="H33">
        <v>33</v>
      </c>
      <c r="I33" s="1" t="str">
        <f t="shared" si="0"/>
        <v/>
      </c>
      <c r="J33" s="1" t="str" cm="1">
        <f t="array" ref="J33">IF(ROW(G36)-ROW(G$4)+1&gt;COUNT(I$1:I$40),"",INDEX(H:H,SMALL(I$1:I$40,1+ROW(G36)-ROW(G$4))))</f>
        <v/>
      </c>
      <c r="P33" t="str">
        <f ca="1">IF(Summary!O34="","",IF(F33=Summary!O34,"Right","Wrong"))</f>
        <v>Wrong</v>
      </c>
    </row>
    <row r="34" spans="1:16" ht="18" customHeight="1" x14ac:dyDescent="0.4">
      <c r="A34" s="4">
        <v>43830</v>
      </c>
      <c r="B34" s="5" t="s">
        <v>98</v>
      </c>
      <c r="C34" s="12" t="s">
        <v>99</v>
      </c>
      <c r="D34" s="13" t="s">
        <v>100</v>
      </c>
      <c r="E34" s="8" t="s">
        <v>99</v>
      </c>
      <c r="F34" s="9">
        <v>32</v>
      </c>
      <c r="G34" s="10" t="str" cm="1">
        <f t="array" ref="G34">IF(ROW(G34)-ROW(G$4)+1&gt;COUNT(I$1:I$40),"",INDEX(H:H,SMALL(I$1:I$40,1+ROW(G34)-ROW(G$4))))</f>
        <v/>
      </c>
      <c r="H34">
        <v>34</v>
      </c>
      <c r="I34" s="1" t="str">
        <f t="shared" si="0"/>
        <v/>
      </c>
      <c r="J34" s="1" t="str" cm="1">
        <f t="array" ref="J34">IF(ROW(G37)-ROW(G$4)+1&gt;COUNT(I$1:I$40),"",INDEX(H:H,SMALL(I$1:I$40,1+ROW(G37)-ROW(G$4))))</f>
        <v/>
      </c>
      <c r="P34" t="str">
        <f ca="1">IF(Summary!O35="","",IF(F34=Summary!O35,"Right","Wrong"))</f>
        <v>Wrong</v>
      </c>
    </row>
    <row r="35" spans="1:16" ht="18" customHeight="1" x14ac:dyDescent="0.4">
      <c r="A35" s="4">
        <v>43466</v>
      </c>
      <c r="B35" s="5" t="s">
        <v>101</v>
      </c>
      <c r="C35" s="12" t="s">
        <v>102</v>
      </c>
      <c r="D35" s="13" t="s">
        <v>103</v>
      </c>
      <c r="E35" s="8" t="s">
        <v>102</v>
      </c>
      <c r="F35" s="9">
        <v>13</v>
      </c>
      <c r="G35" s="10" t="str" cm="1">
        <f t="array" ref="G35">IF(ROW(G35)-ROW(G$4)+1&gt;COUNT(I$1:I$40),"",INDEX(H:H,SMALL(I$1:I$40,1+ROW(G35)-ROW(G$4))))</f>
        <v/>
      </c>
      <c r="H35">
        <v>35</v>
      </c>
      <c r="I35" s="1" t="str">
        <f t="shared" si="0"/>
        <v/>
      </c>
      <c r="J35" s="1" t="str" cm="1">
        <f t="array" ref="J35">IF(ROW(G38)-ROW(G$4)+1&gt;COUNT(I$1:I$40),"",INDEX(H:H,SMALL(I$1:I$40,1+ROW(G38)-ROW(G$4))))</f>
        <v/>
      </c>
      <c r="P35" t="str">
        <f ca="1">IF(Summary!O36="","",IF(F35=Summary!O36,"Right","Wrong"))</f>
        <v>Right</v>
      </c>
    </row>
    <row r="36" spans="1:16" ht="18" customHeight="1" x14ac:dyDescent="0.4">
      <c r="A36" s="4">
        <v>43466</v>
      </c>
      <c r="B36" s="5" t="s">
        <v>104</v>
      </c>
      <c r="C36" s="12" t="s">
        <v>105</v>
      </c>
      <c r="D36" s="13" t="s">
        <v>106</v>
      </c>
      <c r="E36" s="8" t="s">
        <v>106</v>
      </c>
      <c r="F36" s="9">
        <v>14</v>
      </c>
      <c r="G36" s="10" t="str" cm="1">
        <f t="array" ref="G36">IF(ROW(G36)-ROW(G$4)+1&gt;COUNT(I$1:I$40),"",INDEX(H:H,SMALL(I$1:I$40,1+ROW(G36)-ROW(G$4))))</f>
        <v/>
      </c>
      <c r="H36">
        <v>36</v>
      </c>
      <c r="I36" s="1" t="str">
        <f t="shared" si="0"/>
        <v/>
      </c>
      <c r="J36" s="1" t="str" cm="1">
        <f t="array" ref="J36">IF(ROW(G39)-ROW(G$4)+1&gt;COUNT(I$1:I$40),"",INDEX(H:H,SMALL(I$1:I$40,1+ROW(G39)-ROW(G$4))))</f>
        <v/>
      </c>
      <c r="P36" t="str">
        <f ca="1">IF(Summary!O37="","",IF(F36=Summary!O37,"Right","Wrong"))</f>
        <v>Right</v>
      </c>
    </row>
    <row r="37" spans="1:16" ht="18" customHeight="1" x14ac:dyDescent="0.4">
      <c r="A37" s="4">
        <v>43466</v>
      </c>
      <c r="B37" s="5" t="s">
        <v>107</v>
      </c>
      <c r="C37" s="12" t="s">
        <v>108</v>
      </c>
      <c r="D37" s="13" t="s">
        <v>109</v>
      </c>
      <c r="E37" s="8" t="s">
        <v>109</v>
      </c>
      <c r="F37" s="9">
        <v>15</v>
      </c>
      <c r="G37" s="10" t="str" cm="1">
        <f t="array" ref="G37">IF(ROW(G37)-ROW(G$4)+1&gt;COUNT(I$1:I$40),"",INDEX(H:H,SMALL(I$1:I$40,1+ROW(G37)-ROW(G$4))))</f>
        <v/>
      </c>
      <c r="H37">
        <v>37</v>
      </c>
      <c r="I37" s="1" t="str">
        <f t="shared" si="0"/>
        <v/>
      </c>
      <c r="J37" s="1" t="str" cm="1">
        <f t="array" ref="J37">IF(ROW(G40)-ROW(G$4)+1&gt;COUNT(I$1:I$40),"",INDEX(H:H,SMALL(I$1:I$40,1+ROW(G40)-ROW(G$4))))</f>
        <v/>
      </c>
      <c r="P37" t="str">
        <f ca="1">IF(Summary!O38="","",IF(F37=Summary!O38,"Right","Wrong"))</f>
        <v>Wrong</v>
      </c>
    </row>
    <row r="38" spans="1:16" ht="18" customHeight="1" x14ac:dyDescent="0.4">
      <c r="A38" s="4">
        <v>43466</v>
      </c>
      <c r="B38" s="5" t="s">
        <v>110</v>
      </c>
      <c r="C38" s="12" t="s">
        <v>111</v>
      </c>
      <c r="D38" s="13" t="s">
        <v>112</v>
      </c>
      <c r="E38" s="8" t="s">
        <v>112</v>
      </c>
      <c r="F38" s="9">
        <v>1</v>
      </c>
      <c r="G38" s="10" t="str" cm="1">
        <f t="array" ref="G38">IF(ROW(G38)-ROW(G$4)+1&gt;COUNT(I$1:I$40),"",INDEX(H:H,SMALL(I$1:I$40,1+ROW(G38)-ROW(G$4))))</f>
        <v/>
      </c>
      <c r="H38">
        <v>38</v>
      </c>
      <c r="I38" s="1" t="str">
        <f t="shared" si="0"/>
        <v/>
      </c>
      <c r="J38" s="1" t="str" cm="1">
        <f t="array" ref="J38">IF(ROW(G41)-ROW(G$4)+1&gt;COUNT(I$1:I$40),"",INDEX(H:H,SMALL(I$1:I$40,1+ROW(G41)-ROW(G$4))))</f>
        <v/>
      </c>
      <c r="P38" t="str">
        <f ca="1">IF(Summary!O39="","",IF(F38=Summary!O39,"Right","Wrong"))</f>
        <v>Wrong</v>
      </c>
    </row>
    <row r="39" spans="1:16" ht="18" customHeight="1" x14ac:dyDescent="0.4">
      <c r="A39" s="4">
        <v>43467</v>
      </c>
      <c r="B39" s="5" t="s">
        <v>113</v>
      </c>
      <c r="C39" s="12" t="s">
        <v>114</v>
      </c>
      <c r="D39" s="13" t="s">
        <v>115</v>
      </c>
      <c r="E39" s="8" t="s">
        <v>115</v>
      </c>
      <c r="F39" s="9">
        <v>16</v>
      </c>
      <c r="G39" s="10" t="str" cm="1">
        <f t="array" ref="G39">IF(ROW(G39)-ROW(G$4)+1&gt;COUNT(I$1:I$40),"",INDEX(H:H,SMALL(I$1:I$40,1+ROW(G39)-ROW(G$4))))</f>
        <v/>
      </c>
      <c r="H39">
        <v>39</v>
      </c>
      <c r="I39" s="1" t="str">
        <f t="shared" si="0"/>
        <v/>
      </c>
      <c r="J39" s="1" t="str" cm="1">
        <f t="array" ref="J39">IF(ROW(G42)-ROW(G$4)+1&gt;COUNT(I$1:I$40),"",INDEX(H:H,SMALL(I$1:I$40,1+ROW(G42)-ROW(G$4))))</f>
        <v/>
      </c>
      <c r="P39" t="str">
        <f ca="1">IF(Summary!O40="","",IF(F39=Summary!O40,"Right","Wrong"))</f>
        <v>Right</v>
      </c>
    </row>
    <row r="40" spans="1:16" ht="18" customHeight="1" x14ac:dyDescent="0.4">
      <c r="A40" s="4">
        <v>43467</v>
      </c>
      <c r="B40" s="5" t="s">
        <v>116</v>
      </c>
      <c r="C40" s="12" t="s">
        <v>117</v>
      </c>
      <c r="D40" s="13" t="s">
        <v>118</v>
      </c>
      <c r="E40" s="8" t="s">
        <v>117</v>
      </c>
      <c r="F40" s="9">
        <v>17</v>
      </c>
      <c r="G40" s="10" t="str" cm="1">
        <f t="array" ref="G40">IF(ROW(G40)-ROW(G$4)+1&gt;COUNT(I$1:I$40),"",INDEX(H:H,SMALL(I$1:I$40,1+ROW(G40)-ROW(G$4))))</f>
        <v/>
      </c>
      <c r="H40">
        <v>40</v>
      </c>
      <c r="I40" s="1" t="str">
        <f t="shared" si="0"/>
        <v/>
      </c>
      <c r="J40" s="1" t="str" cm="1">
        <f t="array" ref="J40">IF(ROW(G43)-ROW(G$4)+1&gt;COUNT(I$1:I$40),"",INDEX(H:H,SMALL(I$1:I$40,1+ROW(G43)-ROW(G$4))))</f>
        <v/>
      </c>
      <c r="P40" t="str">
        <f ca="1">IF(Summary!O41="","",IF(F40=Summary!O41,"Right","Wrong"))</f>
        <v>Right</v>
      </c>
    </row>
    <row r="41" spans="1:16" ht="18" customHeight="1" x14ac:dyDescent="0.4">
      <c r="A41" s="4">
        <v>43468</v>
      </c>
      <c r="B41" s="5" t="s">
        <v>119</v>
      </c>
      <c r="C41" s="12" t="s">
        <v>120</v>
      </c>
      <c r="D41" s="13" t="s">
        <v>121</v>
      </c>
      <c r="E41" s="8" t="s">
        <v>121</v>
      </c>
      <c r="F41" s="9">
        <v>27</v>
      </c>
      <c r="G41" s="10" t="str" cm="1">
        <f t="array" ref="G41">IF(ROW(G41)-ROW(G$4)+1&gt;COUNT(I$1:I$40),"",INDEX(H:H,SMALL(I$1:I$40,1+ROW(G41)-ROW(G$4))))</f>
        <v/>
      </c>
      <c r="I41" s="1"/>
      <c r="J41" s="1" t="str" cm="1">
        <f t="array" ref="J41">IF(ROW(G44)-ROW(G$4)+1&gt;COUNT(I$1:I$40),"",INDEX(H:H,SMALL(I$1:I$40,1+ROW(G44)-ROW(G$4))))</f>
        <v/>
      </c>
      <c r="P41" t="str">
        <f ca="1">IF(Summary!O42="","",IF(F41=Summary!O42,"Right","Wrong"))</f>
        <v>Wrong</v>
      </c>
    </row>
    <row r="42" spans="1:16" ht="18" customHeight="1" x14ac:dyDescent="0.4">
      <c r="A42" s="4">
        <v>43469</v>
      </c>
      <c r="B42" s="5" t="s">
        <v>122</v>
      </c>
      <c r="C42" s="12" t="s">
        <v>123</v>
      </c>
      <c r="D42" s="13" t="s">
        <v>124</v>
      </c>
      <c r="E42" s="8" t="s">
        <v>124</v>
      </c>
      <c r="F42" s="9">
        <v>26</v>
      </c>
      <c r="G42" s="10" t="str" cm="1">
        <f t="array" ref="G42">IF(ROW(G42)-ROW(G$4)+1&gt;COUNT(I$1:I$40),"",INDEX(H:H,SMALL(I$1:I$40,1+ROW(G42)-ROW(G$4))))</f>
        <v/>
      </c>
      <c r="H42" s="14"/>
      <c r="P42" t="str">
        <f ca="1">IF(Summary!O43="","",IF(F42=Summary!O43,"Right","Wrong"))</f>
        <v>Wrong</v>
      </c>
    </row>
    <row r="43" spans="1:16" ht="18" customHeight="1" thickBot="1" x14ac:dyDescent="0.45">
      <c r="A43" s="15">
        <v>43471</v>
      </c>
      <c r="B43" s="16" t="s">
        <v>125</v>
      </c>
      <c r="C43" s="17" t="s">
        <v>126</v>
      </c>
      <c r="D43" s="18" t="s">
        <v>127</v>
      </c>
      <c r="E43" s="19" t="s">
        <v>127</v>
      </c>
      <c r="F43" s="20">
        <v>18</v>
      </c>
      <c r="G43" s="21" t="str" cm="1">
        <f t="array" ref="G43">IF(ROW(G43)-ROW(G$4)+1&gt;COUNT(I$1:I$40),"",INDEX(H:H,SMALL(I$1:I$40,1+ROW(G43)-ROW(G$4))))</f>
        <v/>
      </c>
      <c r="H43" s="14"/>
      <c r="P43" t="str">
        <f ca="1">IF(Summary!O44="","",IF(F43=Summary!O44,"Right","Wrong"))</f>
        <v>Wrong</v>
      </c>
    </row>
    <row r="44" spans="1:16" ht="18" customHeight="1" x14ac:dyDescent="0.4">
      <c r="A44" s="22"/>
      <c r="B44" s="104" t="s">
        <v>128</v>
      </c>
      <c r="C44" s="104"/>
      <c r="D44" s="104"/>
      <c r="E44" s="23" t="s">
        <v>155</v>
      </c>
      <c r="F44" s="24">
        <v>60</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21" priority="4">
      <formula>LEN(TRIM(B1))=0</formula>
    </cfRule>
  </conditionalFormatting>
  <conditionalFormatting sqref="F4:F44">
    <cfRule type="duplicateValues" dxfId="20" priority="3"/>
  </conditionalFormatting>
  <conditionalFormatting sqref="P4:P43">
    <cfRule type="cellIs" dxfId="19" priority="1" operator="equal">
      <formula>"Wrong"</formula>
    </cfRule>
    <cfRule type="cellIs" dxfId="18" priority="2" operator="equal">
      <formula>"Right"</formula>
    </cfRule>
  </conditionalFormatting>
  <dataValidations count="3">
    <dataValidation type="list" allowBlank="1" showInputMessage="1" sqref="F4:F43" xr:uid="{D7F20EDC-7159-42A0-98B0-6768DBBC8253}">
      <formula1>Confidence_Count</formula1>
    </dataValidation>
    <dataValidation type="list" errorStyle="warning" allowBlank="1" showInputMessage="1" sqref="E4:E43" xr:uid="{BA3BEA1E-17F3-4BAC-840F-F2A0159FCF70}">
      <formula1>$C4:$D4</formula1>
    </dataValidation>
    <dataValidation type="list" allowBlank="1" showInputMessage="1" showErrorMessage="1" sqref="E44" xr:uid="{80A75F91-F908-4636-9EA3-63F8B675A44C}">
      <formula1>"LSU,Ohio State,Clemson,Oklahoma"</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D5DF9-E4FF-43CD-BEB0-8609070E6B3D}">
  <sheetPr codeName="Sheet18"/>
  <dimension ref="A1:S44"/>
  <sheetViews>
    <sheetView showGridLines="0" workbookViewId="0">
      <selection activeCell="F4" sqref="F4:F43"/>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x14ac:dyDescent="0.35">
      <c r="A1" s="105" t="s">
        <v>0</v>
      </c>
      <c r="B1" s="105" t="s">
        <v>158</v>
      </c>
      <c r="C1" t="s">
        <v>161</v>
      </c>
      <c r="F1" s="107" t="s">
        <v>1</v>
      </c>
      <c r="G1" s="105" t="s">
        <v>145</v>
      </c>
      <c r="H1">
        <v>1</v>
      </c>
      <c r="I1" s="1" t="str">
        <f t="shared" ref="I1:I40" si="0">IF(COUNTIF($F$4:$F$43,H1)&gt;=1,"",ROW())</f>
        <v/>
      </c>
      <c r="J1" s="1" t="str" cm="1">
        <f t="array" ref="J1">IF(ROW(G4)-ROW(G$4)+1&gt;COUNT(I$1:I$40),"",INDEX(H:H,SMALL(I$1:I$40,1+ROW(G4)-ROW(G$4))))</f>
        <v/>
      </c>
    </row>
    <row r="2" spans="1:19" ht="15" thickBot="1" x14ac:dyDescent="0.4">
      <c r="A2" s="106"/>
      <c r="B2" s="106"/>
      <c r="C2" t="s">
        <v>162</v>
      </c>
      <c r="F2" s="108"/>
      <c r="G2" s="106"/>
      <c r="H2">
        <v>2</v>
      </c>
      <c r="I2" s="1" t="str">
        <f t="shared" si="0"/>
        <v/>
      </c>
      <c r="J2" s="1" t="str" cm="1">
        <f t="array" ref="J2">IF(ROW(G5)-ROW(G$4)+1&gt;COUNT(I$1:I$40),"",INDEX(H:H,SMALL(I$1:I$40,1+ROW(G5)-ROW(G$4))))</f>
        <v/>
      </c>
    </row>
    <row r="3" spans="1:19" ht="18" customHeight="1" thickBot="1" x14ac:dyDescent="0.4">
      <c r="A3" s="69" t="s">
        <v>2</v>
      </c>
      <c r="B3" s="69" t="s">
        <v>3</v>
      </c>
      <c r="C3" s="109" t="s">
        <v>4</v>
      </c>
      <c r="D3" s="109"/>
      <c r="E3" s="69" t="s">
        <v>5</v>
      </c>
      <c r="F3" s="69" t="s">
        <v>6</v>
      </c>
      <c r="G3" s="69" t="s">
        <v>7</v>
      </c>
      <c r="H3">
        <v>3</v>
      </c>
      <c r="I3" s="1" t="str">
        <f t="shared" si="0"/>
        <v/>
      </c>
      <c r="J3" s="1" t="str" cm="1">
        <f t="array" ref="J3">IF(ROW(G6)-ROW(G$4)+1&gt;COUNT(I$1:I$40),"",INDEX(H:H,SMALL(I$1:I$40,1+ROW(G6)-ROW(G$4))))</f>
        <v/>
      </c>
      <c r="P3" t="str">
        <f ca="1">_xlfn.CONCAT(COUNTIF(P4:P43,"Right")&amp;"/"&amp;(COUNTIF(P4:P43,"Right")+COUNTIF(P4:P43,"Wrong")))</f>
        <v>24/40</v>
      </c>
      <c r="Q3" t="s">
        <v>164</v>
      </c>
    </row>
    <row r="4" spans="1:19" ht="18" customHeight="1" thickTop="1" x14ac:dyDescent="0.4">
      <c r="A4" s="4">
        <v>43819</v>
      </c>
      <c r="B4" s="5" t="s">
        <v>8</v>
      </c>
      <c r="C4" s="6" t="s">
        <v>9</v>
      </c>
      <c r="D4" s="7" t="s">
        <v>10</v>
      </c>
      <c r="E4" s="8" t="s">
        <v>9</v>
      </c>
      <c r="F4" s="9">
        <v>34</v>
      </c>
      <c r="G4" s="10" t="str" cm="1">
        <f t="array" ref="G4">IF(ROW(G4)-ROW(G$4)+1&gt;COUNT(I$1:I$40),"",INDEX(H:H,SMALL(I$1:I$40,1+ROW(G4)-ROW(G$4))))</f>
        <v/>
      </c>
      <c r="H4">
        <v>4</v>
      </c>
      <c r="I4" s="1" t="str">
        <f t="shared" si="0"/>
        <v/>
      </c>
      <c r="J4" s="1" t="str" cm="1">
        <f t="array" ref="J4">IF(ROW(G7)-ROW(G$4)+1&gt;COUNT(I$1:I$40),"",INDEX(H:H,SMALL(I$1:I$40,1+ROW(G7)-ROW(G$4))))</f>
        <v/>
      </c>
      <c r="N4" s="11"/>
      <c r="P4" t="str">
        <f ca="1">IF(Summary!P5="","",IF(F4=Summary!P5,"Right","Wrong"))</f>
        <v>Right</v>
      </c>
      <c r="Q4">
        <f t="shared" ref="Q4:Q43" si="1">41-F4</f>
        <v>7</v>
      </c>
    </row>
    <row r="5" spans="1:19" ht="18" customHeight="1" x14ac:dyDescent="0.4">
      <c r="A5" s="4">
        <v>43819</v>
      </c>
      <c r="B5" s="5" t="s">
        <v>11</v>
      </c>
      <c r="C5" s="12" t="s">
        <v>12</v>
      </c>
      <c r="D5" s="13" t="s">
        <v>13</v>
      </c>
      <c r="E5" s="8" t="s">
        <v>13</v>
      </c>
      <c r="F5" s="9">
        <v>27</v>
      </c>
      <c r="G5" s="10" t="str" cm="1">
        <f t="array" ref="G5">IF(ROW(G5)-ROW(G$4)+1&gt;COUNT(I$1:I$40),"",INDEX(H:H,SMALL(I$1:I$40,1+ROW(G5)-ROW(G$4))))</f>
        <v/>
      </c>
      <c r="H5">
        <v>5</v>
      </c>
      <c r="I5" s="1" t="str">
        <f t="shared" si="0"/>
        <v/>
      </c>
      <c r="J5" s="1" t="str" cm="1">
        <f t="array" ref="J5">IF(ROW(G8)-ROW(G$4)+1&gt;COUNT(I$1:I$40),"",INDEX(H:H,SMALL(I$1:I$40,1+ROW(G8)-ROW(G$4))))</f>
        <v/>
      </c>
      <c r="P5" t="str">
        <f ca="1">IF(Summary!P6="","",IF(F5=Summary!P6,"Right","Wrong"))</f>
        <v>Right</v>
      </c>
      <c r="Q5">
        <f t="shared" si="1"/>
        <v>14</v>
      </c>
    </row>
    <row r="6" spans="1:19" ht="18" customHeight="1" x14ac:dyDescent="0.4">
      <c r="A6" s="4">
        <v>43820</v>
      </c>
      <c r="B6" s="5" t="s">
        <v>14</v>
      </c>
      <c r="C6" s="12" t="s">
        <v>15</v>
      </c>
      <c r="D6" s="13" t="s">
        <v>16</v>
      </c>
      <c r="E6" s="8" t="s">
        <v>16</v>
      </c>
      <c r="F6" s="9">
        <v>33</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IF(Summary!P7="","",IF(F6=Summary!P7,"Right","Wrong"))</f>
        <v>Right</v>
      </c>
      <c r="Q6">
        <f t="shared" si="1"/>
        <v>8</v>
      </c>
    </row>
    <row r="7" spans="1:19" ht="18" customHeight="1" x14ac:dyDescent="0.4">
      <c r="A7" s="4">
        <v>43820</v>
      </c>
      <c r="B7" s="5" t="s">
        <v>17</v>
      </c>
      <c r="C7" s="12" t="s">
        <v>18</v>
      </c>
      <c r="D7" s="13" t="s">
        <v>19</v>
      </c>
      <c r="E7" s="8" t="s">
        <v>18</v>
      </c>
      <c r="F7" s="9">
        <v>28</v>
      </c>
      <c r="G7" s="10" t="str" cm="1">
        <f t="array" ref="G7">IF(ROW(G7)-ROW(G$4)+1&gt;COUNT(I$1:I$40),"",INDEX(H:H,SMALL(I$1:I$40,1+ROW(G7)-ROW(G$4))))</f>
        <v/>
      </c>
      <c r="H7">
        <v>7</v>
      </c>
      <c r="I7" s="1" t="str">
        <f t="shared" si="0"/>
        <v/>
      </c>
      <c r="J7" s="1" t="str" cm="1">
        <f t="array" ref="J7">IF(ROW(G10)-ROW(G$4)+1&gt;COUNT(I$1:I$40),"",INDEX(H:H,SMALL(I$1:I$40,1+ROW(G10)-ROW(G$4))))</f>
        <v/>
      </c>
      <c r="P7" t="str">
        <f ca="1">IF(Summary!P8="","",IF(F7=Summary!P8,"Right","Wrong"))</f>
        <v>Right</v>
      </c>
      <c r="Q7">
        <f t="shared" si="1"/>
        <v>13</v>
      </c>
      <c r="R7" s="103"/>
      <c r="S7" s="103"/>
    </row>
    <row r="8" spans="1:19" ht="18" customHeight="1" x14ac:dyDescent="0.4">
      <c r="A8" s="4">
        <v>43820</v>
      </c>
      <c r="B8" s="5" t="s">
        <v>20</v>
      </c>
      <c r="C8" s="12" t="s">
        <v>21</v>
      </c>
      <c r="D8" s="13" t="s">
        <v>22</v>
      </c>
      <c r="E8" s="8" t="s">
        <v>21</v>
      </c>
      <c r="F8" s="9">
        <v>32</v>
      </c>
      <c r="G8" s="10" t="str" cm="1">
        <f t="array" ref="G8">IF(ROW(G8)-ROW(G$4)+1&gt;COUNT(I$1:I$40),"",INDEX(H:H,SMALL(I$1:I$40,1+ROW(G8)-ROW(G$4))))</f>
        <v/>
      </c>
      <c r="H8">
        <v>8</v>
      </c>
      <c r="I8" s="1" t="str">
        <f t="shared" si="0"/>
        <v/>
      </c>
      <c r="J8" s="1" t="str" cm="1">
        <f t="array" ref="J8">IF(ROW(G11)-ROW(G$4)+1&gt;COUNT(I$1:I$40),"",INDEX(H:H,SMALL(I$1:I$40,1+ROW(G11)-ROW(G$4))))</f>
        <v/>
      </c>
      <c r="P8" t="str">
        <f ca="1">IF(Summary!P9="","",IF(F8=Summary!P9,"Right","Wrong"))</f>
        <v>Wrong</v>
      </c>
      <c r="Q8">
        <f t="shared" si="1"/>
        <v>9</v>
      </c>
      <c r="R8" s="103"/>
      <c r="S8" s="103"/>
    </row>
    <row r="9" spans="1:19" ht="18" customHeight="1" x14ac:dyDescent="0.4">
      <c r="A9" s="4">
        <v>43820</v>
      </c>
      <c r="B9" s="5" t="s">
        <v>23</v>
      </c>
      <c r="C9" s="12" t="s">
        <v>24</v>
      </c>
      <c r="D9" s="13" t="s">
        <v>25</v>
      </c>
      <c r="E9" s="8" t="s">
        <v>24</v>
      </c>
      <c r="F9" s="9">
        <v>30</v>
      </c>
      <c r="G9" s="10" t="str" cm="1">
        <f t="array" ref="G9">IF(ROW(G9)-ROW(G$4)+1&gt;COUNT(I$1:I$40),"",INDEX(H:H,SMALL(I$1:I$40,1+ROW(G9)-ROW(G$4))))</f>
        <v/>
      </c>
      <c r="H9">
        <v>9</v>
      </c>
      <c r="I9" s="1" t="str">
        <f t="shared" si="0"/>
        <v/>
      </c>
      <c r="J9" s="1" t="str" cm="1">
        <f t="array" ref="J9">IF(ROW(G12)-ROW(G$4)+1&gt;COUNT(I$1:I$40),"",INDEX(H:H,SMALL(I$1:I$40,1+ROW(G12)-ROW(G$4))))</f>
        <v/>
      </c>
      <c r="P9" t="str">
        <f ca="1">IF(Summary!P10="","",IF(F9=Summary!P10,"Right","Wrong"))</f>
        <v>Wrong</v>
      </c>
      <c r="Q9">
        <f t="shared" si="1"/>
        <v>11</v>
      </c>
    </row>
    <row r="10" spans="1:19" ht="18" customHeight="1" x14ac:dyDescent="0.4">
      <c r="A10" s="4">
        <v>43820</v>
      </c>
      <c r="B10" s="5" t="s">
        <v>26</v>
      </c>
      <c r="C10" s="12" t="s">
        <v>27</v>
      </c>
      <c r="D10" s="13" t="s">
        <v>28</v>
      </c>
      <c r="E10" s="8" t="s">
        <v>27</v>
      </c>
      <c r="F10" s="9">
        <v>29</v>
      </c>
      <c r="G10" s="10" t="str" cm="1">
        <f t="array" ref="G10">IF(ROW(G10)-ROW(G$4)+1&gt;COUNT(I$1:I$40),"",INDEX(H:H,SMALL(I$1:I$40,1+ROW(G10)-ROW(G$4))))</f>
        <v/>
      </c>
      <c r="H10">
        <v>10</v>
      </c>
      <c r="I10" s="1" t="str">
        <f t="shared" si="0"/>
        <v/>
      </c>
      <c r="J10" s="1" t="str" cm="1">
        <f t="array" ref="J10">IF(ROW(G13)-ROW(G$4)+1&gt;COUNT(I$1:I$40),"",INDEX(H:H,SMALL(I$1:I$40,1+ROW(G13)-ROW(G$4))))</f>
        <v/>
      </c>
      <c r="P10" t="str">
        <f ca="1">IF(Summary!P11="","",IF(F10=Summary!P11,"Right","Wrong"))</f>
        <v>Wrong</v>
      </c>
      <c r="Q10">
        <f t="shared" si="1"/>
        <v>12</v>
      </c>
    </row>
    <row r="11" spans="1:19" ht="18" customHeight="1" x14ac:dyDescent="0.4">
      <c r="A11" s="4">
        <v>43820</v>
      </c>
      <c r="B11" s="5" t="s">
        <v>29</v>
      </c>
      <c r="C11" s="12" t="s">
        <v>30</v>
      </c>
      <c r="D11" s="13" t="s">
        <v>31</v>
      </c>
      <c r="E11" s="8" t="s">
        <v>30</v>
      </c>
      <c r="F11" s="9">
        <v>31</v>
      </c>
      <c r="G11" s="10" t="str" cm="1">
        <f t="array" ref="G11">IF(ROW(G11)-ROW(G$4)+1&gt;COUNT(I$1:I$40),"",INDEX(H:H,SMALL(I$1:I$40,1+ROW(G11)-ROW(G$4))))</f>
        <v/>
      </c>
      <c r="H11">
        <v>11</v>
      </c>
      <c r="I11" s="1" t="str">
        <f t="shared" si="0"/>
        <v/>
      </c>
      <c r="J11" s="1" t="str" cm="1">
        <f t="array" ref="J11">IF(ROW(G14)-ROW(G$4)+1&gt;COUNT(I$1:I$40),"",INDEX(H:H,SMALL(I$1:I$40,1+ROW(G14)-ROW(G$4))))</f>
        <v/>
      </c>
      <c r="P11" t="str">
        <f ca="1">IF(Summary!P12="","",IF(F11=Summary!P12,"Right","Wrong"))</f>
        <v>Right</v>
      </c>
      <c r="Q11">
        <f t="shared" si="1"/>
        <v>10</v>
      </c>
    </row>
    <row r="12" spans="1:19" ht="18" customHeight="1" x14ac:dyDescent="0.4">
      <c r="A12" s="4">
        <v>43820</v>
      </c>
      <c r="B12" s="5" t="s">
        <v>32</v>
      </c>
      <c r="C12" s="12" t="s">
        <v>33</v>
      </c>
      <c r="D12" s="13" t="s">
        <v>34</v>
      </c>
      <c r="E12" s="8" t="s">
        <v>33</v>
      </c>
      <c r="F12" s="9">
        <v>1</v>
      </c>
      <c r="G12" s="10" t="str" cm="1">
        <f t="array" ref="G12">IF(ROW(G12)-ROW(G$4)+1&gt;COUNT(I$1:I$40),"",INDEX(H:H,SMALL(I$1:I$40,1+ROW(G12)-ROW(G$4))))</f>
        <v/>
      </c>
      <c r="H12">
        <v>12</v>
      </c>
      <c r="I12" s="1" t="str">
        <f t="shared" si="0"/>
        <v/>
      </c>
      <c r="J12" s="1" t="str" cm="1">
        <f t="array" ref="J12">IF(ROW(G15)-ROW(G$4)+1&gt;COUNT(I$1:I$40),"",INDEX(H:H,SMALL(I$1:I$40,1+ROW(G15)-ROW(G$4))))</f>
        <v/>
      </c>
      <c r="P12" t="str">
        <f ca="1">IF(Summary!P13="","",IF(F12=Summary!P13,"Right","Wrong"))</f>
        <v>Right</v>
      </c>
      <c r="Q12">
        <f t="shared" si="1"/>
        <v>40</v>
      </c>
    </row>
    <row r="13" spans="1:19" ht="18" customHeight="1" x14ac:dyDescent="0.4">
      <c r="A13" s="4">
        <v>43822</v>
      </c>
      <c r="B13" s="5" t="s">
        <v>35</v>
      </c>
      <c r="C13" s="12" t="s">
        <v>36</v>
      </c>
      <c r="D13" s="13" t="s">
        <v>37</v>
      </c>
      <c r="E13" s="8" t="s">
        <v>36</v>
      </c>
      <c r="F13" s="9">
        <v>2</v>
      </c>
      <c r="G13" s="10" t="str" cm="1">
        <f t="array" ref="G13">IF(ROW(G13)-ROW(G$4)+1&gt;COUNT(I$1:I$40),"",INDEX(H:H,SMALL(I$1:I$40,1+ROW(G13)-ROW(G$4))))</f>
        <v/>
      </c>
      <c r="H13">
        <v>13</v>
      </c>
      <c r="I13" s="1" t="str">
        <f t="shared" si="0"/>
        <v/>
      </c>
      <c r="J13" s="1" t="str" cm="1">
        <f t="array" ref="J13">IF(ROW(G16)-ROW(G$4)+1&gt;COUNT(I$1:I$40),"",INDEX(H:H,SMALL(I$1:I$40,1+ROW(G16)-ROW(G$4))))</f>
        <v/>
      </c>
      <c r="P13" t="str">
        <f ca="1">IF(Summary!P14="","",IF(F13=Summary!P14,"Right","Wrong"))</f>
        <v>Right</v>
      </c>
      <c r="Q13">
        <f t="shared" si="1"/>
        <v>39</v>
      </c>
    </row>
    <row r="14" spans="1:19" ht="18" customHeight="1" x14ac:dyDescent="0.4">
      <c r="A14" s="4">
        <v>43823</v>
      </c>
      <c r="B14" s="5" t="s">
        <v>38</v>
      </c>
      <c r="C14" s="12" t="s">
        <v>39</v>
      </c>
      <c r="D14" s="13" t="s">
        <v>40</v>
      </c>
      <c r="E14" s="8" t="s">
        <v>40</v>
      </c>
      <c r="F14" s="9">
        <v>35</v>
      </c>
      <c r="G14" s="10" t="str" cm="1">
        <f t="array" ref="G14">IF(ROW(G14)-ROW(G$4)+1&gt;COUNT(I$1:I$40),"",INDEX(H:H,SMALL(I$1:I$40,1+ROW(G14)-ROW(G$4))))</f>
        <v/>
      </c>
      <c r="H14">
        <v>14</v>
      </c>
      <c r="I14" s="1" t="str">
        <f t="shared" si="0"/>
        <v/>
      </c>
      <c r="J14" s="1" t="str" cm="1">
        <f t="array" ref="J14">IF(ROW(G17)-ROW(G$4)+1&gt;COUNT(I$1:I$40),"",INDEX(H:H,SMALL(I$1:I$40,1+ROW(G17)-ROW(G$4))))</f>
        <v/>
      </c>
      <c r="P14" t="str">
        <f ca="1">IF(Summary!P15="","",IF(F14=Summary!P15,"Right","Wrong"))</f>
        <v>Wrong</v>
      </c>
      <c r="Q14">
        <f t="shared" si="1"/>
        <v>6</v>
      </c>
    </row>
    <row r="15" spans="1:19" ht="18" customHeight="1" x14ac:dyDescent="0.4">
      <c r="A15" s="4">
        <v>43825</v>
      </c>
      <c r="B15" s="5" t="s">
        <v>41</v>
      </c>
      <c r="C15" s="12" t="s">
        <v>42</v>
      </c>
      <c r="D15" s="13" t="s">
        <v>43</v>
      </c>
      <c r="E15" s="8" t="s">
        <v>42</v>
      </c>
      <c r="F15" s="9">
        <v>36</v>
      </c>
      <c r="G15" s="10" t="str" cm="1">
        <f t="array" ref="G15">IF(ROW(G15)-ROW(G$4)+1&gt;COUNT(I$1:I$40),"",INDEX(H:H,SMALL(I$1:I$40,1+ROW(G15)-ROW(G$4))))</f>
        <v/>
      </c>
      <c r="H15">
        <v>15</v>
      </c>
      <c r="I15" s="1" t="str">
        <f t="shared" si="0"/>
        <v/>
      </c>
      <c r="J15" s="1" t="str" cm="1">
        <f t="array" ref="J15">IF(ROW(G18)-ROW(G$4)+1&gt;COUNT(I$1:I$40),"",INDEX(H:H,SMALL(I$1:I$40,1+ROW(G18)-ROW(G$4))))</f>
        <v/>
      </c>
      <c r="P15" t="str">
        <f ca="1">IF(Summary!P16="","",IF(F15=Summary!P16,"Right","Wrong"))</f>
        <v>Wrong</v>
      </c>
      <c r="Q15">
        <f t="shared" si="1"/>
        <v>5</v>
      </c>
    </row>
    <row r="16" spans="1:19" ht="18" customHeight="1" x14ac:dyDescent="0.4">
      <c r="A16" s="4">
        <v>43825</v>
      </c>
      <c r="B16" s="5" t="s">
        <v>44</v>
      </c>
      <c r="C16" s="12" t="s">
        <v>45</v>
      </c>
      <c r="D16" s="13" t="s">
        <v>46</v>
      </c>
      <c r="E16" s="8" t="s">
        <v>45</v>
      </c>
      <c r="F16" s="9">
        <v>3</v>
      </c>
      <c r="G16" s="10" t="str" cm="1">
        <f t="array" ref="G16">IF(ROW(G16)-ROW(G$4)+1&gt;COUNT(I$1:I$40),"",INDEX(H:H,SMALL(I$1:I$40,1+ROW(G16)-ROW(G$4))))</f>
        <v/>
      </c>
      <c r="H16">
        <v>16</v>
      </c>
      <c r="I16" s="1" t="str">
        <f t="shared" si="0"/>
        <v/>
      </c>
      <c r="J16" s="1" t="str" cm="1">
        <f t="array" ref="J16">IF(ROW(G19)-ROW(G$4)+1&gt;COUNT(I$1:I$40),"",INDEX(H:H,SMALL(I$1:I$40,1+ROW(G19)-ROW(G$4))))</f>
        <v/>
      </c>
      <c r="P16" t="str">
        <f ca="1">IF(Summary!P17="","",IF(F16=Summary!P17,"Right","Wrong"))</f>
        <v>Right</v>
      </c>
      <c r="Q16">
        <f t="shared" si="1"/>
        <v>38</v>
      </c>
    </row>
    <row r="17" spans="1:17" ht="18" customHeight="1" x14ac:dyDescent="0.4">
      <c r="A17" s="4">
        <v>43826</v>
      </c>
      <c r="B17" s="5" t="s">
        <v>47</v>
      </c>
      <c r="C17" s="12" t="s">
        <v>48</v>
      </c>
      <c r="D17" s="13" t="s">
        <v>49</v>
      </c>
      <c r="E17" s="8" t="s">
        <v>49</v>
      </c>
      <c r="F17" s="9">
        <v>4</v>
      </c>
      <c r="G17" s="10" t="str" cm="1">
        <f t="array" ref="G17">IF(ROW(G17)-ROW(G$4)+1&gt;COUNT(I$1:I$40),"",INDEX(H:H,SMALL(I$1:I$40,1+ROW(G17)-ROW(G$4))))</f>
        <v/>
      </c>
      <c r="H17">
        <v>17</v>
      </c>
      <c r="I17" s="1" t="str">
        <f t="shared" si="0"/>
        <v/>
      </c>
      <c r="J17" s="1" t="str" cm="1">
        <f t="array" ref="J17">IF(ROW(G20)-ROW(G$4)+1&gt;COUNT(I$1:I$40),"",INDEX(H:H,SMALL(I$1:I$40,1+ROW(G20)-ROW(G$4))))</f>
        <v/>
      </c>
      <c r="P17" t="str">
        <f ca="1">IF(Summary!P18="","",IF(F17=Summary!P18,"Right","Wrong"))</f>
        <v>Wrong</v>
      </c>
      <c r="Q17">
        <f t="shared" si="1"/>
        <v>37</v>
      </c>
    </row>
    <row r="18" spans="1:17" ht="18" customHeight="1" x14ac:dyDescent="0.4">
      <c r="A18" s="4">
        <v>43826</v>
      </c>
      <c r="B18" s="5" t="s">
        <v>50</v>
      </c>
      <c r="C18" s="12" t="s">
        <v>51</v>
      </c>
      <c r="D18" s="13" t="s">
        <v>52</v>
      </c>
      <c r="E18" s="8" t="s">
        <v>52</v>
      </c>
      <c r="F18" s="9">
        <v>37</v>
      </c>
      <c r="G18" s="10" t="str" cm="1">
        <f t="array" ref="G18">IF(ROW(G18)-ROW(G$4)+1&gt;COUNT(I$1:I$40),"",INDEX(H:H,SMALL(I$1:I$40,1+ROW(G18)-ROW(G$4))))</f>
        <v/>
      </c>
      <c r="H18">
        <v>18</v>
      </c>
      <c r="I18" s="1" t="str">
        <f t="shared" si="0"/>
        <v/>
      </c>
      <c r="J18" s="1" t="str" cm="1">
        <f t="array" ref="J18">IF(ROW(G21)-ROW(G$4)+1&gt;COUNT(I$1:I$40),"",INDEX(H:H,SMALL(I$1:I$40,1+ROW(G21)-ROW(G$4))))</f>
        <v/>
      </c>
      <c r="P18" t="str">
        <f ca="1">IF(Summary!P19="","",IF(F18=Summary!P19,"Right","Wrong"))</f>
        <v>Right</v>
      </c>
      <c r="Q18">
        <f t="shared" si="1"/>
        <v>4</v>
      </c>
    </row>
    <row r="19" spans="1:17" ht="18" customHeight="1" x14ac:dyDescent="0.4">
      <c r="A19" s="4">
        <v>43826</v>
      </c>
      <c r="B19" s="5" t="s">
        <v>53</v>
      </c>
      <c r="C19" s="12" t="s">
        <v>54</v>
      </c>
      <c r="D19" s="13" t="s">
        <v>55</v>
      </c>
      <c r="E19" s="8" t="s">
        <v>54</v>
      </c>
      <c r="F19" s="9">
        <v>38</v>
      </c>
      <c r="G19" s="10" t="str" cm="1">
        <f t="array" ref="G19">IF(ROW(G19)-ROW(G$4)+1&gt;COUNT(I$1:I$40),"",INDEX(H:H,SMALL(I$1:I$40,1+ROW(G19)-ROW(G$4))))</f>
        <v/>
      </c>
      <c r="H19">
        <v>19</v>
      </c>
      <c r="I19" s="1" t="str">
        <f t="shared" si="0"/>
        <v/>
      </c>
      <c r="J19" s="1" t="str" cm="1">
        <f t="array" ref="J19">IF(ROW(G22)-ROW(G$4)+1&gt;COUNT(I$1:I$40),"",INDEX(H:H,SMALL(I$1:I$40,1+ROW(G22)-ROW(G$4))))</f>
        <v/>
      </c>
      <c r="P19" t="str">
        <f ca="1">IF(Summary!P20="","",IF(F19=Summary!P20,"Right","Wrong"))</f>
        <v>Wrong</v>
      </c>
      <c r="Q19">
        <f t="shared" si="1"/>
        <v>3</v>
      </c>
    </row>
    <row r="20" spans="1:17" ht="18" customHeight="1" x14ac:dyDescent="0.4">
      <c r="A20" s="4">
        <v>43826</v>
      </c>
      <c r="B20" s="5" t="s">
        <v>56</v>
      </c>
      <c r="C20" s="12" t="s">
        <v>57</v>
      </c>
      <c r="D20" s="13" t="s">
        <v>58</v>
      </c>
      <c r="E20" s="8" t="s">
        <v>57</v>
      </c>
      <c r="F20" s="9">
        <v>40</v>
      </c>
      <c r="G20" s="10" t="str" cm="1">
        <f t="array" ref="G20">IF(ROW(G20)-ROW(G$4)+1&gt;COUNT(I$1:I$40),"",INDEX(H:H,SMALL(I$1:I$40,1+ROW(G20)-ROW(G$4))))</f>
        <v/>
      </c>
      <c r="H20">
        <v>20</v>
      </c>
      <c r="I20" s="1" t="str">
        <f t="shared" si="0"/>
        <v/>
      </c>
      <c r="J20" s="1" t="str" cm="1">
        <f t="array" ref="J20">IF(ROW(G23)-ROW(G$4)+1&gt;COUNT(I$1:I$40),"",INDEX(H:H,SMALL(I$1:I$40,1+ROW(G23)-ROW(G$4))))</f>
        <v/>
      </c>
      <c r="P20" t="str">
        <f ca="1">IF(Summary!P21="","",IF(F20=Summary!P21,"Right","Wrong"))</f>
        <v>Wrong</v>
      </c>
      <c r="Q20">
        <f t="shared" si="1"/>
        <v>1</v>
      </c>
    </row>
    <row r="21" spans="1:17" ht="18" customHeight="1" x14ac:dyDescent="0.4">
      <c r="A21" s="4">
        <v>43826</v>
      </c>
      <c r="B21" s="5" t="s">
        <v>59</v>
      </c>
      <c r="C21" s="12" t="s">
        <v>60</v>
      </c>
      <c r="D21" s="13" t="s">
        <v>61</v>
      </c>
      <c r="E21" s="8" t="s">
        <v>61</v>
      </c>
      <c r="F21" s="9">
        <v>39</v>
      </c>
      <c r="G21" s="10" t="str" cm="1">
        <f t="array" ref="G21">IF(ROW(G21)-ROW(G$4)+1&gt;COUNT(I$1:I$40),"",INDEX(H:H,SMALL(I$1:I$40,1+ROW(G21)-ROW(G$4))))</f>
        <v/>
      </c>
      <c r="H21">
        <v>21</v>
      </c>
      <c r="I21" s="1" t="str">
        <f t="shared" si="0"/>
        <v/>
      </c>
      <c r="J21" s="1" t="str" cm="1">
        <f t="array" ref="J21">IF(ROW(G24)-ROW(G$4)+1&gt;COUNT(I$1:I$40),"",INDEX(H:H,SMALL(I$1:I$40,1+ROW(G24)-ROW(G$4))))</f>
        <v/>
      </c>
      <c r="P21" t="str">
        <f ca="1">IF(Summary!P22="","",IF(F21=Summary!P22,"Right","Wrong"))</f>
        <v>Wrong</v>
      </c>
      <c r="Q21">
        <f t="shared" si="1"/>
        <v>2</v>
      </c>
    </row>
    <row r="22" spans="1:17" ht="18" customHeight="1" x14ac:dyDescent="0.4">
      <c r="A22" s="4">
        <v>43827</v>
      </c>
      <c r="B22" s="5" t="s">
        <v>62</v>
      </c>
      <c r="C22" s="12" t="s">
        <v>63</v>
      </c>
      <c r="D22" s="13" t="s">
        <v>64</v>
      </c>
      <c r="E22" s="8" t="s">
        <v>63</v>
      </c>
      <c r="F22" s="9">
        <v>5</v>
      </c>
      <c r="G22" s="10" t="str" cm="1">
        <f t="array" ref="G22">IF(ROW(G22)-ROW(G$4)+1&gt;COUNT(I$1:I$40),"",INDEX(H:H,SMALL(I$1:I$40,1+ROW(G22)-ROW(G$4))))</f>
        <v/>
      </c>
      <c r="H22">
        <v>22</v>
      </c>
      <c r="I22" s="1" t="str">
        <f t="shared" si="0"/>
        <v/>
      </c>
      <c r="J22" s="1" t="str" cm="1">
        <f t="array" ref="J22">IF(ROW(G25)-ROW(G$4)+1&gt;COUNT(I$1:I$40),"",INDEX(H:H,SMALL(I$1:I$40,1+ROW(G25)-ROW(G$4))))</f>
        <v/>
      </c>
      <c r="P22" t="str">
        <f ca="1">IF(Summary!P23="","",IF(F22=Summary!P23,"Right","Wrong"))</f>
        <v>Right</v>
      </c>
      <c r="Q22">
        <f t="shared" si="1"/>
        <v>36</v>
      </c>
    </row>
    <row r="23" spans="1:17" ht="18" customHeight="1" x14ac:dyDescent="0.4">
      <c r="A23" s="4">
        <v>43827</v>
      </c>
      <c r="B23" s="5" t="s">
        <v>65</v>
      </c>
      <c r="C23" s="12" t="s">
        <v>66</v>
      </c>
      <c r="D23" s="13" t="s">
        <v>67</v>
      </c>
      <c r="E23" s="8" t="s">
        <v>66</v>
      </c>
      <c r="F23" s="9">
        <v>6</v>
      </c>
      <c r="G23" s="10" t="str" cm="1">
        <f t="array" ref="G23">IF(ROW(G23)-ROW(G$4)+1&gt;COUNT(I$1:I$40),"",INDEX(H:H,SMALL(I$1:I$40,1+ROW(G23)-ROW(G$4))))</f>
        <v/>
      </c>
      <c r="H23">
        <v>23</v>
      </c>
      <c r="I23" s="1" t="str">
        <f t="shared" si="0"/>
        <v/>
      </c>
      <c r="J23" s="1" t="str" cm="1">
        <f t="array" ref="J23">IF(ROW(G26)-ROW(G$4)+1&gt;COUNT(I$1:I$40),"",INDEX(H:H,SMALL(I$1:I$40,1+ROW(G26)-ROW(G$4))))</f>
        <v/>
      </c>
      <c r="P23" t="str">
        <f ca="1">IF(Summary!P24="","",IF(F23=Summary!P24,"Right","Wrong"))</f>
        <v>Right</v>
      </c>
      <c r="Q23">
        <f t="shared" si="1"/>
        <v>35</v>
      </c>
    </row>
    <row r="24" spans="1:17" ht="18" customHeight="1" x14ac:dyDescent="0.4">
      <c r="A24" s="4">
        <v>43827</v>
      </c>
      <c r="B24" s="5" t="s">
        <v>68</v>
      </c>
      <c r="C24" s="12" t="s">
        <v>69</v>
      </c>
      <c r="D24" s="13" t="s">
        <v>70</v>
      </c>
      <c r="E24" s="8" t="s">
        <v>69</v>
      </c>
      <c r="F24" s="9">
        <v>7</v>
      </c>
      <c r="G24" s="10" t="str" cm="1">
        <f t="array" ref="G24">IF(ROW(G24)-ROW(G$4)+1&gt;COUNT(I$1:I$40),"",INDEX(H:H,SMALL(I$1:I$40,1+ROW(G24)-ROW(G$4))))</f>
        <v/>
      </c>
      <c r="H24">
        <v>24</v>
      </c>
      <c r="I24" s="1" t="str">
        <f t="shared" si="0"/>
        <v/>
      </c>
      <c r="J24" s="1" t="str" cm="1">
        <f t="array" ref="J24">IF(ROW(G27)-ROW(G$4)+1&gt;COUNT(I$1:I$40),"",INDEX(H:H,SMALL(I$1:I$40,1+ROW(G27)-ROW(G$4))))</f>
        <v/>
      </c>
      <c r="P24" t="str">
        <f ca="1">IF(Summary!P25="","",IF(F24=Summary!P25,"Right","Wrong"))</f>
        <v>Right</v>
      </c>
      <c r="Q24">
        <f t="shared" si="1"/>
        <v>34</v>
      </c>
    </row>
    <row r="25" spans="1:17" ht="18" customHeight="1" x14ac:dyDescent="0.4">
      <c r="A25" s="4">
        <v>43827</v>
      </c>
      <c r="B25" s="5" t="s">
        <v>71</v>
      </c>
      <c r="C25" s="12" t="s">
        <v>72</v>
      </c>
      <c r="D25" s="13" t="s">
        <v>73</v>
      </c>
      <c r="E25" s="8" t="s">
        <v>73</v>
      </c>
      <c r="F25" s="9">
        <v>25</v>
      </c>
      <c r="G25" s="10" t="str" cm="1">
        <f t="array" ref="G25">IF(ROW(G25)-ROW(G$4)+1&gt;COUNT(I$1:I$40),"",INDEX(H:H,SMALL(I$1:I$40,1+ROW(G25)-ROW(G$4))))</f>
        <v/>
      </c>
      <c r="H25">
        <v>25</v>
      </c>
      <c r="I25" s="1" t="str">
        <f t="shared" si="0"/>
        <v/>
      </c>
      <c r="J25" s="1" t="str" cm="1">
        <f t="array" ref="J25">IF(ROW(G28)-ROW(G$4)+1&gt;COUNT(I$1:I$40),"",INDEX(H:H,SMALL(I$1:I$40,1+ROW(G28)-ROW(G$4))))</f>
        <v/>
      </c>
      <c r="P25" t="str">
        <f ca="1">IF(Summary!P26="","",IF(F25=Summary!P26,"Right","Wrong"))</f>
        <v>Right</v>
      </c>
      <c r="Q25">
        <f t="shared" si="1"/>
        <v>16</v>
      </c>
    </row>
    <row r="26" spans="1:17" ht="18" customHeight="1" x14ac:dyDescent="0.4">
      <c r="A26" s="4">
        <v>43829</v>
      </c>
      <c r="B26" s="5" t="s">
        <v>74</v>
      </c>
      <c r="C26" s="12" t="s">
        <v>75</v>
      </c>
      <c r="D26" s="13" t="s">
        <v>76</v>
      </c>
      <c r="E26" s="8" t="s">
        <v>76</v>
      </c>
      <c r="F26" s="9">
        <v>26</v>
      </c>
      <c r="G26" s="10" t="str" cm="1">
        <f t="array" ref="G26">IF(ROW(G26)-ROW(G$4)+1&gt;COUNT(I$1:I$40),"",INDEX(H:H,SMALL(I$1:I$40,1+ROW(G26)-ROW(G$4))))</f>
        <v/>
      </c>
      <c r="H26">
        <v>26</v>
      </c>
      <c r="I26" s="1" t="str">
        <f t="shared" si="0"/>
        <v/>
      </c>
      <c r="J26" s="1" t="str" cm="1">
        <f t="array" ref="J26">IF(ROW(G29)-ROW(G$4)+1&gt;COUNT(I$1:I$40),"",INDEX(H:H,SMALL(I$1:I$40,1+ROW(G29)-ROW(G$4))))</f>
        <v/>
      </c>
      <c r="P26" t="str">
        <f ca="1">IF(Summary!P27="","",IF(F26=Summary!P27,"Right","Wrong"))</f>
        <v>Wrong</v>
      </c>
      <c r="Q26">
        <f t="shared" si="1"/>
        <v>15</v>
      </c>
    </row>
    <row r="27" spans="1:17" ht="18" customHeight="1" x14ac:dyDescent="0.4">
      <c r="A27" s="4">
        <v>43829</v>
      </c>
      <c r="B27" s="5" t="s">
        <v>77</v>
      </c>
      <c r="C27" s="12" t="s">
        <v>78</v>
      </c>
      <c r="D27" s="13" t="s">
        <v>79</v>
      </c>
      <c r="E27" s="8" t="s">
        <v>78</v>
      </c>
      <c r="F27" s="9">
        <v>24</v>
      </c>
      <c r="G27" s="10" t="str" cm="1">
        <f t="array" ref="G27">IF(ROW(G27)-ROW(G$4)+1&gt;COUNT(I$1:I$40),"",INDEX(H:H,SMALL(I$1:I$40,1+ROW(G27)-ROW(G$4))))</f>
        <v/>
      </c>
      <c r="H27">
        <v>27</v>
      </c>
      <c r="I27" s="1" t="str">
        <f t="shared" si="0"/>
        <v/>
      </c>
      <c r="J27" s="1" t="str" cm="1">
        <f t="array" ref="J27">IF(ROW(G30)-ROW(G$4)+1&gt;COUNT(I$1:I$40),"",INDEX(H:H,SMALL(I$1:I$40,1+ROW(G30)-ROW(G$4))))</f>
        <v/>
      </c>
      <c r="P27" t="str">
        <f ca="1">IF(Summary!P28="","",IF(F27=Summary!P28,"Right","Wrong"))</f>
        <v>Wrong</v>
      </c>
      <c r="Q27">
        <f t="shared" si="1"/>
        <v>17</v>
      </c>
    </row>
    <row r="28" spans="1:17" ht="18" customHeight="1" x14ac:dyDescent="0.4">
      <c r="A28" s="4">
        <v>43829</v>
      </c>
      <c r="B28" s="5" t="s">
        <v>80</v>
      </c>
      <c r="C28" s="12" t="s">
        <v>81</v>
      </c>
      <c r="D28" s="13" t="s">
        <v>82</v>
      </c>
      <c r="E28" s="8" t="s">
        <v>82</v>
      </c>
      <c r="F28" s="9">
        <v>23</v>
      </c>
      <c r="G28" s="10" t="str" cm="1">
        <f t="array" ref="G28">IF(ROW(G28)-ROW(G$4)+1&gt;COUNT(I$1:I$40),"",INDEX(H:H,SMALL(I$1:I$40,1+ROW(G28)-ROW(G$4))))</f>
        <v/>
      </c>
      <c r="H28">
        <v>28</v>
      </c>
      <c r="I28" s="1" t="str">
        <f t="shared" si="0"/>
        <v/>
      </c>
      <c r="J28" s="1" t="str" cm="1">
        <f t="array" ref="J28">IF(ROW(G31)-ROW(G$4)+1&gt;COUNT(I$1:I$40),"",INDEX(H:H,SMALL(I$1:I$40,1+ROW(G31)-ROW(G$4))))</f>
        <v/>
      </c>
      <c r="P28" t="str">
        <f ca="1">IF(Summary!P29="","",IF(F28=Summary!P29,"Right","Wrong"))</f>
        <v>Right</v>
      </c>
      <c r="Q28">
        <f t="shared" si="1"/>
        <v>18</v>
      </c>
    </row>
    <row r="29" spans="1:17" ht="18" customHeight="1" x14ac:dyDescent="0.4">
      <c r="A29" s="4">
        <v>43829</v>
      </c>
      <c r="B29" s="5" t="s">
        <v>83</v>
      </c>
      <c r="C29" s="12" t="s">
        <v>84</v>
      </c>
      <c r="D29" s="13" t="s">
        <v>85</v>
      </c>
      <c r="E29" s="8" t="s">
        <v>84</v>
      </c>
      <c r="F29" s="9">
        <v>8</v>
      </c>
      <c r="G29" s="10" t="str" cm="1">
        <f t="array" ref="G29">IF(ROW(G29)-ROW(G$4)+1&gt;COUNT(I$1:I$40),"",INDEX(H:H,SMALL(I$1:I$40,1+ROW(G29)-ROW(G$4))))</f>
        <v/>
      </c>
      <c r="H29">
        <v>29</v>
      </c>
      <c r="I29" s="1" t="str">
        <f t="shared" si="0"/>
        <v/>
      </c>
      <c r="J29" s="1" t="str" cm="1">
        <f t="array" ref="J29">IF(ROW(G32)-ROW(G$4)+1&gt;COUNT(I$1:I$40),"",INDEX(H:H,SMALL(I$1:I$40,1+ROW(G32)-ROW(G$4))))</f>
        <v/>
      </c>
      <c r="P29" t="str">
        <f ca="1">IF(Summary!P30="","",IF(F29=Summary!P30,"Right","Wrong"))</f>
        <v>Right</v>
      </c>
      <c r="Q29">
        <f t="shared" si="1"/>
        <v>33</v>
      </c>
    </row>
    <row r="30" spans="1:17" ht="18" customHeight="1" x14ac:dyDescent="0.4">
      <c r="A30" s="4">
        <v>43830</v>
      </c>
      <c r="B30" s="5" t="s">
        <v>86</v>
      </c>
      <c r="C30" s="12" t="s">
        <v>87</v>
      </c>
      <c r="D30" s="13" t="s">
        <v>88</v>
      </c>
      <c r="E30" s="8" t="s">
        <v>88</v>
      </c>
      <c r="F30" s="9">
        <v>10</v>
      </c>
      <c r="G30" s="10" t="str" cm="1">
        <f t="array" ref="G30">IF(ROW(G30)-ROW(G$4)+1&gt;COUNT(I$1:I$40),"",INDEX(H:H,SMALL(I$1:I$40,1+ROW(G30)-ROW(G$4))))</f>
        <v/>
      </c>
      <c r="H30">
        <v>30</v>
      </c>
      <c r="I30" s="1" t="str">
        <f t="shared" si="0"/>
        <v/>
      </c>
      <c r="J30" s="1" t="str" cm="1">
        <f t="array" ref="J30">IF(ROW(G33)-ROW(G$4)+1&gt;COUNT(I$1:I$40),"",INDEX(H:H,SMALL(I$1:I$40,1+ROW(G33)-ROW(G$4))))</f>
        <v/>
      </c>
      <c r="P30" t="str">
        <f ca="1">IF(Summary!P31="","",IF(F30=Summary!P31,"Right","Wrong"))</f>
        <v>Wrong</v>
      </c>
      <c r="Q30">
        <f t="shared" si="1"/>
        <v>31</v>
      </c>
    </row>
    <row r="31" spans="1:17" ht="18" customHeight="1" x14ac:dyDescent="0.4">
      <c r="A31" s="4">
        <v>43830</v>
      </c>
      <c r="B31" s="5" t="s">
        <v>89</v>
      </c>
      <c r="C31" s="12" t="s">
        <v>90</v>
      </c>
      <c r="D31" s="13" t="s">
        <v>91</v>
      </c>
      <c r="E31" s="8" t="s">
        <v>91</v>
      </c>
      <c r="F31" s="9">
        <v>9</v>
      </c>
      <c r="G31" s="10" t="str" cm="1">
        <f t="array" ref="G31">IF(ROW(G31)-ROW(G$4)+1&gt;COUNT(I$1:I$40),"",INDEX(H:H,SMALL(I$1:I$40,1+ROW(G31)-ROW(G$4))))</f>
        <v/>
      </c>
      <c r="H31">
        <v>31</v>
      </c>
      <c r="I31" s="1" t="str">
        <f t="shared" si="0"/>
        <v/>
      </c>
      <c r="J31" s="1" t="str" cm="1">
        <f t="array" ref="J31">IF(ROW(G34)-ROW(G$4)+1&gt;COUNT(I$1:I$40),"",INDEX(H:H,SMALL(I$1:I$40,1+ROW(G34)-ROW(G$4))))</f>
        <v/>
      </c>
      <c r="P31" t="str">
        <f ca="1">IF(Summary!P32="","",IF(F31=Summary!P32,"Right","Wrong"))</f>
        <v>Right</v>
      </c>
      <c r="Q31">
        <f t="shared" si="1"/>
        <v>32</v>
      </c>
    </row>
    <row r="32" spans="1:17" ht="18" customHeight="1" x14ac:dyDescent="0.4">
      <c r="A32" s="4">
        <v>43830</v>
      </c>
      <c r="B32" s="5" t="s">
        <v>92</v>
      </c>
      <c r="C32" s="12" t="s">
        <v>93</v>
      </c>
      <c r="D32" s="13" t="s">
        <v>94</v>
      </c>
      <c r="E32" s="8" t="s">
        <v>93</v>
      </c>
      <c r="F32" s="9">
        <v>21</v>
      </c>
      <c r="G32" s="10" t="str" cm="1">
        <f t="array" ref="G32">IF(ROW(G32)-ROW(G$4)+1&gt;COUNT(I$1:I$40),"",INDEX(H:H,SMALL(I$1:I$40,1+ROW(G32)-ROW(G$4))))</f>
        <v/>
      </c>
      <c r="H32">
        <v>32</v>
      </c>
      <c r="I32" s="1" t="str">
        <f t="shared" si="0"/>
        <v/>
      </c>
      <c r="J32" s="1" t="str" cm="1">
        <f t="array" ref="J32">IF(ROW(G35)-ROW(G$4)+1&gt;COUNT(I$1:I$40),"",INDEX(H:H,SMALL(I$1:I$40,1+ROW(G35)-ROW(G$4))))</f>
        <v/>
      </c>
      <c r="P32" t="str">
        <f ca="1">IF(Summary!P33="","",IF(F32=Summary!P33,"Right","Wrong"))</f>
        <v>Right</v>
      </c>
      <c r="Q32">
        <f t="shared" si="1"/>
        <v>20</v>
      </c>
    </row>
    <row r="33" spans="1:17" ht="18" customHeight="1" x14ac:dyDescent="0.4">
      <c r="A33" s="4">
        <v>43830</v>
      </c>
      <c r="B33" s="5" t="s">
        <v>95</v>
      </c>
      <c r="C33" s="12" t="s">
        <v>96</v>
      </c>
      <c r="D33" s="13" t="s">
        <v>97</v>
      </c>
      <c r="E33" s="8" t="s">
        <v>97</v>
      </c>
      <c r="F33" s="9">
        <v>11</v>
      </c>
      <c r="G33" s="10" t="str" cm="1">
        <f t="array" ref="G33">IF(ROW(G33)-ROW(G$4)+1&gt;COUNT(I$1:I$40),"",INDEX(H:H,SMALL(I$1:I$40,1+ROW(G33)-ROW(G$4))))</f>
        <v/>
      </c>
      <c r="H33">
        <v>33</v>
      </c>
      <c r="I33" s="1" t="str">
        <f t="shared" si="0"/>
        <v/>
      </c>
      <c r="J33" s="1" t="str" cm="1">
        <f t="array" ref="J33">IF(ROW(G36)-ROW(G$4)+1&gt;COUNT(I$1:I$40),"",INDEX(H:H,SMALL(I$1:I$40,1+ROW(G36)-ROW(G$4))))</f>
        <v/>
      </c>
      <c r="P33" t="str">
        <f ca="1">IF(Summary!P34="","",IF(F33=Summary!P34,"Right","Wrong"))</f>
        <v>Right</v>
      </c>
      <c r="Q33">
        <f t="shared" si="1"/>
        <v>30</v>
      </c>
    </row>
    <row r="34" spans="1:17" ht="18" customHeight="1" x14ac:dyDescent="0.4">
      <c r="A34" s="4">
        <v>43830</v>
      </c>
      <c r="B34" s="5" t="s">
        <v>98</v>
      </c>
      <c r="C34" s="12" t="s">
        <v>99</v>
      </c>
      <c r="D34" s="13" t="s">
        <v>100</v>
      </c>
      <c r="E34" s="8" t="s">
        <v>99</v>
      </c>
      <c r="F34" s="9">
        <v>20</v>
      </c>
      <c r="G34" s="10" t="str" cm="1">
        <f t="array" ref="G34">IF(ROW(G34)-ROW(G$4)+1&gt;COUNT(I$1:I$40),"",INDEX(H:H,SMALL(I$1:I$40,1+ROW(G34)-ROW(G$4))))</f>
        <v/>
      </c>
      <c r="H34">
        <v>34</v>
      </c>
      <c r="I34" s="1" t="str">
        <f t="shared" si="0"/>
        <v/>
      </c>
      <c r="J34" s="1" t="str" cm="1">
        <f t="array" ref="J34">IF(ROW(G37)-ROW(G$4)+1&gt;COUNT(I$1:I$40),"",INDEX(H:H,SMALL(I$1:I$40,1+ROW(G37)-ROW(G$4))))</f>
        <v/>
      </c>
      <c r="P34" t="str">
        <f ca="1">IF(Summary!P35="","",IF(F34=Summary!P35,"Right","Wrong"))</f>
        <v>Wrong</v>
      </c>
      <c r="Q34">
        <f t="shared" si="1"/>
        <v>21</v>
      </c>
    </row>
    <row r="35" spans="1:17" ht="18" customHeight="1" x14ac:dyDescent="0.4">
      <c r="A35" s="4">
        <v>43466</v>
      </c>
      <c r="B35" s="5" t="s">
        <v>101</v>
      </c>
      <c r="C35" s="12" t="s">
        <v>102</v>
      </c>
      <c r="D35" s="13" t="s">
        <v>103</v>
      </c>
      <c r="E35" s="8" t="s">
        <v>102</v>
      </c>
      <c r="F35" s="9">
        <v>12</v>
      </c>
      <c r="G35" s="10" t="str" cm="1">
        <f t="array" ref="G35">IF(ROW(G35)-ROW(G$4)+1&gt;COUNT(I$1:I$40),"",INDEX(H:H,SMALL(I$1:I$40,1+ROW(G35)-ROW(G$4))))</f>
        <v/>
      </c>
      <c r="H35">
        <v>35</v>
      </c>
      <c r="I35" s="1" t="str">
        <f t="shared" si="0"/>
        <v/>
      </c>
      <c r="J35" s="1" t="str" cm="1">
        <f t="array" ref="J35">IF(ROW(G38)-ROW(G$4)+1&gt;COUNT(I$1:I$40),"",INDEX(H:H,SMALL(I$1:I$40,1+ROW(G38)-ROW(G$4))))</f>
        <v/>
      </c>
      <c r="P35" t="str">
        <f ca="1">IF(Summary!P36="","",IF(F35=Summary!P36,"Right","Wrong"))</f>
        <v>Right</v>
      </c>
      <c r="Q35">
        <f t="shared" si="1"/>
        <v>29</v>
      </c>
    </row>
    <row r="36" spans="1:17" ht="18" customHeight="1" x14ac:dyDescent="0.4">
      <c r="A36" s="4">
        <v>43466</v>
      </c>
      <c r="B36" s="5" t="s">
        <v>104</v>
      </c>
      <c r="C36" s="12" t="s">
        <v>105</v>
      </c>
      <c r="D36" s="13" t="s">
        <v>106</v>
      </c>
      <c r="E36" s="8" t="s">
        <v>105</v>
      </c>
      <c r="F36" s="9">
        <v>19</v>
      </c>
      <c r="G36" s="10" t="str" cm="1">
        <f t="array" ref="G36">IF(ROW(G36)-ROW(G$4)+1&gt;COUNT(I$1:I$40),"",INDEX(H:H,SMALL(I$1:I$40,1+ROW(G36)-ROW(G$4))))</f>
        <v/>
      </c>
      <c r="H36">
        <v>36</v>
      </c>
      <c r="I36" s="1" t="str">
        <f t="shared" si="0"/>
        <v/>
      </c>
      <c r="J36" s="1" t="str" cm="1">
        <f t="array" ref="J36">IF(ROW(G39)-ROW(G$4)+1&gt;COUNT(I$1:I$40),"",INDEX(H:H,SMALL(I$1:I$40,1+ROW(G39)-ROW(G$4))))</f>
        <v/>
      </c>
      <c r="P36" t="str">
        <f ca="1">IF(Summary!P37="","",IF(F36=Summary!P37,"Right","Wrong"))</f>
        <v>Wrong</v>
      </c>
      <c r="Q36">
        <f t="shared" si="1"/>
        <v>22</v>
      </c>
    </row>
    <row r="37" spans="1:17" ht="18" customHeight="1" x14ac:dyDescent="0.4">
      <c r="A37" s="4">
        <v>43466</v>
      </c>
      <c r="B37" s="5" t="s">
        <v>107</v>
      </c>
      <c r="C37" s="12" t="s">
        <v>108</v>
      </c>
      <c r="D37" s="13" t="s">
        <v>109</v>
      </c>
      <c r="E37" s="8" t="s">
        <v>109</v>
      </c>
      <c r="F37" s="9">
        <v>22</v>
      </c>
      <c r="G37" s="10" t="str" cm="1">
        <f t="array" ref="G37">IF(ROW(G37)-ROW(G$4)+1&gt;COUNT(I$1:I$40),"",INDEX(H:H,SMALL(I$1:I$40,1+ROW(G37)-ROW(G$4))))</f>
        <v/>
      </c>
      <c r="H37">
        <v>37</v>
      </c>
      <c r="I37" s="1" t="str">
        <f t="shared" si="0"/>
        <v/>
      </c>
      <c r="J37" s="1" t="str" cm="1">
        <f t="array" ref="J37">IF(ROW(G40)-ROW(G$4)+1&gt;COUNT(I$1:I$40),"",INDEX(H:H,SMALL(I$1:I$40,1+ROW(G40)-ROW(G$4))))</f>
        <v/>
      </c>
      <c r="P37" t="str">
        <f ca="1">IF(Summary!P38="","",IF(F37=Summary!P38,"Right","Wrong"))</f>
        <v>Wrong</v>
      </c>
      <c r="Q37">
        <f t="shared" si="1"/>
        <v>19</v>
      </c>
    </row>
    <row r="38" spans="1:17" ht="18" customHeight="1" x14ac:dyDescent="0.4">
      <c r="A38" s="4">
        <v>43466</v>
      </c>
      <c r="B38" s="5" t="s">
        <v>110</v>
      </c>
      <c r="C38" s="12" t="s">
        <v>111</v>
      </c>
      <c r="D38" s="13" t="s">
        <v>112</v>
      </c>
      <c r="E38" s="8" t="s">
        <v>111</v>
      </c>
      <c r="F38" s="9">
        <v>13</v>
      </c>
      <c r="G38" s="10" t="str" cm="1">
        <f t="array" ref="G38">IF(ROW(G38)-ROW(G$4)+1&gt;COUNT(I$1:I$40),"",INDEX(H:H,SMALL(I$1:I$40,1+ROW(G38)-ROW(G$4))))</f>
        <v/>
      </c>
      <c r="H38">
        <v>38</v>
      </c>
      <c r="I38" s="1" t="str">
        <f t="shared" si="0"/>
        <v/>
      </c>
      <c r="J38" s="1" t="str" cm="1">
        <f t="array" ref="J38">IF(ROW(G41)-ROW(G$4)+1&gt;COUNT(I$1:I$40),"",INDEX(H:H,SMALL(I$1:I$40,1+ROW(G41)-ROW(G$4))))</f>
        <v/>
      </c>
      <c r="P38" t="str">
        <f ca="1">IF(Summary!P39="","",IF(F38=Summary!P39,"Right","Wrong"))</f>
        <v>Right</v>
      </c>
      <c r="Q38">
        <f t="shared" si="1"/>
        <v>28</v>
      </c>
    </row>
    <row r="39" spans="1:17" ht="18" customHeight="1" x14ac:dyDescent="0.4">
      <c r="A39" s="4">
        <v>43467</v>
      </c>
      <c r="B39" s="5" t="s">
        <v>113</v>
      </c>
      <c r="C39" s="12" t="s">
        <v>114</v>
      </c>
      <c r="D39" s="13" t="s">
        <v>115</v>
      </c>
      <c r="E39" s="8" t="s">
        <v>115</v>
      </c>
      <c r="F39" s="9">
        <v>14</v>
      </c>
      <c r="G39" s="10" t="str" cm="1">
        <f t="array" ref="G39">IF(ROW(G39)-ROW(G$4)+1&gt;COUNT(I$1:I$40),"",INDEX(H:H,SMALL(I$1:I$40,1+ROW(G39)-ROW(G$4))))</f>
        <v/>
      </c>
      <c r="H39">
        <v>39</v>
      </c>
      <c r="I39" s="1" t="str">
        <f t="shared" si="0"/>
        <v/>
      </c>
      <c r="J39" s="1" t="str" cm="1">
        <f t="array" ref="J39">IF(ROW(G42)-ROW(G$4)+1&gt;COUNT(I$1:I$40),"",INDEX(H:H,SMALL(I$1:I$40,1+ROW(G42)-ROW(G$4))))</f>
        <v/>
      </c>
      <c r="P39" t="str">
        <f ca="1">IF(Summary!P40="","",IF(F39=Summary!P40,"Right","Wrong"))</f>
        <v>Right</v>
      </c>
      <c r="Q39">
        <f t="shared" si="1"/>
        <v>27</v>
      </c>
    </row>
    <row r="40" spans="1:17" ht="18" customHeight="1" x14ac:dyDescent="0.4">
      <c r="A40" s="4">
        <v>43467</v>
      </c>
      <c r="B40" s="5" t="s">
        <v>116</v>
      </c>
      <c r="C40" s="12" t="s">
        <v>117</v>
      </c>
      <c r="D40" s="13" t="s">
        <v>118</v>
      </c>
      <c r="E40" s="8" t="s">
        <v>117</v>
      </c>
      <c r="F40" s="9">
        <v>15</v>
      </c>
      <c r="G40" s="10" t="str" cm="1">
        <f t="array" ref="G40">IF(ROW(G40)-ROW(G$4)+1&gt;COUNT(I$1:I$40),"",INDEX(H:H,SMALL(I$1:I$40,1+ROW(G40)-ROW(G$4))))</f>
        <v/>
      </c>
      <c r="H40">
        <v>40</v>
      </c>
      <c r="I40" s="1" t="str">
        <f t="shared" si="0"/>
        <v/>
      </c>
      <c r="J40" s="1" t="str" cm="1">
        <f t="array" ref="J40">IF(ROW(G43)-ROW(G$4)+1&gt;COUNT(I$1:I$40),"",INDEX(H:H,SMALL(I$1:I$40,1+ROW(G43)-ROW(G$4))))</f>
        <v/>
      </c>
      <c r="P40" t="str">
        <f ca="1">IF(Summary!P41="","",IF(F40=Summary!P41,"Right","Wrong"))</f>
        <v>Right</v>
      </c>
      <c r="Q40">
        <f t="shared" si="1"/>
        <v>26</v>
      </c>
    </row>
    <row r="41" spans="1:17" ht="18" customHeight="1" x14ac:dyDescent="0.4">
      <c r="A41" s="4">
        <v>43468</v>
      </c>
      <c r="B41" s="5" t="s">
        <v>119</v>
      </c>
      <c r="C41" s="12" t="s">
        <v>120</v>
      </c>
      <c r="D41" s="13" t="s">
        <v>121</v>
      </c>
      <c r="E41" s="8" t="s">
        <v>121</v>
      </c>
      <c r="F41" s="9">
        <v>16</v>
      </c>
      <c r="G41" s="10" t="str" cm="1">
        <f t="array" ref="G41">IF(ROW(G41)-ROW(G$4)+1&gt;COUNT(I$1:I$40),"",INDEX(H:H,SMALL(I$1:I$40,1+ROW(G41)-ROW(G$4))))</f>
        <v/>
      </c>
      <c r="I41" s="1"/>
      <c r="J41" s="1" t="str" cm="1">
        <f t="array" ref="J41">IF(ROW(G44)-ROW(G$4)+1&gt;COUNT(I$1:I$40),"",INDEX(H:H,SMALL(I$1:I$40,1+ROW(G44)-ROW(G$4))))</f>
        <v/>
      </c>
      <c r="P41" t="str">
        <f ca="1">IF(Summary!P42="","",IF(F41=Summary!P42,"Right","Wrong"))</f>
        <v>Wrong</v>
      </c>
      <c r="Q41">
        <f t="shared" si="1"/>
        <v>25</v>
      </c>
    </row>
    <row r="42" spans="1:17" ht="18" customHeight="1" x14ac:dyDescent="0.4">
      <c r="A42" s="4">
        <v>43469</v>
      </c>
      <c r="B42" s="5" t="s">
        <v>122</v>
      </c>
      <c r="C42" s="12" t="s">
        <v>123</v>
      </c>
      <c r="D42" s="13" t="s">
        <v>124</v>
      </c>
      <c r="E42" s="8" t="s">
        <v>123</v>
      </c>
      <c r="F42" s="9">
        <v>17</v>
      </c>
      <c r="G42" s="10" t="str" cm="1">
        <f t="array" ref="G42">IF(ROW(G42)-ROW(G$4)+1&gt;COUNT(I$1:I$40),"",INDEX(H:H,SMALL(I$1:I$40,1+ROW(G42)-ROW(G$4))))</f>
        <v/>
      </c>
      <c r="H42" s="14"/>
      <c r="P42" t="str">
        <f ca="1">IF(Summary!P43="","",IF(F42=Summary!P43,"Right","Wrong"))</f>
        <v>Right</v>
      </c>
      <c r="Q42">
        <f t="shared" si="1"/>
        <v>24</v>
      </c>
    </row>
    <row r="43" spans="1:17" ht="18" customHeight="1" thickBot="1" x14ac:dyDescent="0.45">
      <c r="A43" s="15">
        <v>43471</v>
      </c>
      <c r="B43" s="16" t="s">
        <v>125</v>
      </c>
      <c r="C43" s="17" t="s">
        <v>126</v>
      </c>
      <c r="D43" s="18" t="s">
        <v>127</v>
      </c>
      <c r="E43" s="19" t="s">
        <v>126</v>
      </c>
      <c r="F43" s="20">
        <v>18</v>
      </c>
      <c r="G43" s="21" t="str" cm="1">
        <f t="array" ref="G43">IF(ROW(G43)-ROW(G$4)+1&gt;COUNT(I$1:I$40),"",INDEX(H:H,SMALL(I$1:I$40,1+ROW(G43)-ROW(G$4))))</f>
        <v/>
      </c>
      <c r="H43" s="14"/>
      <c r="P43" t="str">
        <f ca="1">IF(Summary!P44="","",IF(F43=Summary!P44,"Right","Wrong"))</f>
        <v>Right</v>
      </c>
      <c r="Q43">
        <f t="shared" si="1"/>
        <v>23</v>
      </c>
    </row>
    <row r="44" spans="1:17" ht="18" customHeight="1" x14ac:dyDescent="0.4">
      <c r="A44" s="22"/>
      <c r="B44" s="104" t="s">
        <v>128</v>
      </c>
      <c r="C44" s="104"/>
      <c r="D44" s="104"/>
      <c r="E44" s="23" t="s">
        <v>69</v>
      </c>
      <c r="F44" s="24">
        <v>66</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B1">
    <cfRule type="containsBlanks" dxfId="17" priority="6">
      <formula>LEN(TRIM(B1))=0</formula>
    </cfRule>
  </conditionalFormatting>
  <conditionalFormatting sqref="E4:F44">
    <cfRule type="containsBlanks" dxfId="16" priority="4">
      <formula>LEN(TRIM(E4))=0</formula>
    </cfRule>
  </conditionalFormatting>
  <conditionalFormatting sqref="F4:F44">
    <cfRule type="duplicateValues" dxfId="15" priority="3"/>
  </conditionalFormatting>
  <conditionalFormatting sqref="P4:P43">
    <cfRule type="cellIs" dxfId="14" priority="1" operator="equal">
      <formula>"Wrong"</formula>
    </cfRule>
    <cfRule type="cellIs" dxfId="13" priority="2" operator="equal">
      <formula>"Right"</formula>
    </cfRule>
  </conditionalFormatting>
  <dataValidations count="3">
    <dataValidation type="list" allowBlank="1" showInputMessage="1" sqref="F4:F43" xr:uid="{4ECB2625-592F-45D2-98E4-24D6B3FE37C5}">
      <formula1>Confidence_Count</formula1>
    </dataValidation>
    <dataValidation type="list" errorStyle="warning" allowBlank="1" showInputMessage="1" sqref="E4:E43" xr:uid="{B82B9BA5-BCC5-4160-B5D4-EB919FD5552A}">
      <formula1>$C4:$D4</formula1>
    </dataValidation>
    <dataValidation type="list" allowBlank="1" showInputMessage="1" showErrorMessage="1" sqref="E44" xr:uid="{DDA7F301-EEAB-44BE-86FD-73FD9DE72745}">
      <formula1>"LSU,Ohio State,Clemson,Oklahoma"</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794D8-3B39-47A3-A193-20541A593D27}">
  <sheetPr codeName="Sheet20"/>
  <dimension ref="A1:S44"/>
  <sheetViews>
    <sheetView showGridLines="0" workbookViewId="0">
      <selection activeCell="P1" sqref="P1:P1048576"/>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x14ac:dyDescent="0.35">
      <c r="A1" s="105" t="s">
        <v>0</v>
      </c>
      <c r="B1" s="105" t="s">
        <v>139</v>
      </c>
      <c r="F1" s="107" t="s">
        <v>1</v>
      </c>
      <c r="G1" s="105" t="s">
        <v>145</v>
      </c>
      <c r="H1">
        <v>1</v>
      </c>
      <c r="I1" s="1" t="str">
        <f t="shared" ref="I1:I40" si="0">IF(COUNTIF($F$4:$F$43,H1)&gt;=1,"",ROW())</f>
        <v/>
      </c>
      <c r="J1" s="1" t="str" cm="1">
        <f t="array" ref="J1">IF(ROW(G4)-ROW(G$4)+1&gt;COUNT(I$1:I$40),"",INDEX(H:H,SMALL(I$1:I$40,1+ROW(G4)-ROW(G$4))))</f>
        <v/>
      </c>
    </row>
    <row r="2" spans="1:19" ht="15"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2" t="s">
        <v>2</v>
      </c>
      <c r="B3" s="2" t="s">
        <v>3</v>
      </c>
      <c r="C3" s="109" t="s">
        <v>4</v>
      </c>
      <c r="D3" s="109"/>
      <c r="E3" s="2" t="s">
        <v>5</v>
      </c>
      <c r="F3" s="2" t="s">
        <v>6</v>
      </c>
      <c r="G3" s="2" t="s">
        <v>7</v>
      </c>
      <c r="H3">
        <v>3</v>
      </c>
      <c r="I3" s="1" t="str">
        <f t="shared" si="0"/>
        <v/>
      </c>
      <c r="J3" s="1" t="str" cm="1">
        <f t="array" ref="J3">IF(ROW(G6)-ROW(G$4)+1&gt;COUNT(I$1:I$40),"",INDEX(H:H,SMALL(I$1:I$40,1+ROW(G6)-ROW(G$4))))</f>
        <v/>
      </c>
      <c r="P3" t="str">
        <f ca="1">_xlfn.CONCAT(COUNTIF(P4:P43,"Right")&amp;"/"&amp;(COUNTIF(P4:P43,"Right")+COUNTIF(P4:P43,"Wrong")))</f>
        <v>20/40</v>
      </c>
    </row>
    <row r="4" spans="1:19" ht="18" customHeight="1" thickTop="1" x14ac:dyDescent="0.4">
      <c r="A4" s="4">
        <v>43819</v>
      </c>
      <c r="B4" s="5" t="s">
        <v>8</v>
      </c>
      <c r="C4" s="6" t="s">
        <v>9</v>
      </c>
      <c r="D4" s="7" t="s">
        <v>10</v>
      </c>
      <c r="E4" s="8" t="s">
        <v>10</v>
      </c>
      <c r="F4" s="9">
        <v>33</v>
      </c>
      <c r="G4" s="10" t="str" cm="1">
        <f t="array" ref="G4">IF(ROW(G4)-ROW(G$4)+1&gt;COUNT(I$1:I$40),"",INDEX(H:H,SMALL(I$1:I$40,1+ROW(G4)-ROW(G$4))))</f>
        <v/>
      </c>
      <c r="H4">
        <v>4</v>
      </c>
      <c r="I4" s="1" t="str">
        <f t="shared" si="0"/>
        <v/>
      </c>
      <c r="J4" s="1" t="str" cm="1">
        <f t="array" ref="J4">IF(ROW(G7)-ROW(G$4)+1&gt;COUNT(I$1:I$40),"",INDEX(H:H,SMALL(I$1:I$40,1+ROW(G7)-ROW(G$4))))</f>
        <v/>
      </c>
      <c r="N4" s="11"/>
      <c r="P4" t="str">
        <f ca="1">IF(Summary!Q5="","",IF(F4=Summary!Q5,"Right","Wrong"))</f>
        <v>Wrong</v>
      </c>
    </row>
    <row r="5" spans="1:19" ht="18" customHeight="1" x14ac:dyDescent="0.4">
      <c r="A5" s="4">
        <v>43819</v>
      </c>
      <c r="B5" s="5" t="s">
        <v>11</v>
      </c>
      <c r="C5" s="12" t="s">
        <v>12</v>
      </c>
      <c r="D5" s="13" t="s">
        <v>13</v>
      </c>
      <c r="E5" s="8" t="s">
        <v>12</v>
      </c>
      <c r="F5" s="9">
        <v>15</v>
      </c>
      <c r="G5" s="10" t="str" cm="1">
        <f t="array" ref="G5">IF(ROW(G5)-ROW(G$4)+1&gt;COUNT(I$1:I$40),"",INDEX(H:H,SMALL(I$1:I$40,1+ROW(G5)-ROW(G$4))))</f>
        <v/>
      </c>
      <c r="H5">
        <v>5</v>
      </c>
      <c r="I5" s="1" t="str">
        <f t="shared" si="0"/>
        <v/>
      </c>
      <c r="J5" s="1" t="str" cm="1">
        <f t="array" ref="J5">IF(ROW(G8)-ROW(G$4)+1&gt;COUNT(I$1:I$40),"",INDEX(H:H,SMALL(I$1:I$40,1+ROW(G8)-ROW(G$4))))</f>
        <v/>
      </c>
      <c r="P5" t="str">
        <f ca="1">IF(Summary!Q6="","",IF(F5=Summary!Q6,"Right","Wrong"))</f>
        <v>Wrong</v>
      </c>
    </row>
    <row r="6" spans="1:19" ht="18" customHeight="1" x14ac:dyDescent="0.4">
      <c r="A6" s="4">
        <v>43820</v>
      </c>
      <c r="B6" s="5" t="s">
        <v>14</v>
      </c>
      <c r="C6" s="12" t="s">
        <v>15</v>
      </c>
      <c r="D6" s="13" t="s">
        <v>16</v>
      </c>
      <c r="E6" s="8" t="s">
        <v>15</v>
      </c>
      <c r="F6" s="9">
        <v>1</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IF(Summary!Q7="","",IF(F6=Summary!Q7,"Right","Wrong"))</f>
        <v>Wrong</v>
      </c>
    </row>
    <row r="7" spans="1:19" ht="18" customHeight="1" x14ac:dyDescent="0.4">
      <c r="A7" s="4">
        <v>43820</v>
      </c>
      <c r="B7" s="5" t="s">
        <v>17</v>
      </c>
      <c r="C7" s="12" t="s">
        <v>18</v>
      </c>
      <c r="D7" s="13" t="s">
        <v>19</v>
      </c>
      <c r="E7" s="8" t="s">
        <v>19</v>
      </c>
      <c r="F7" s="9">
        <v>24</v>
      </c>
      <c r="G7" s="10" t="str" cm="1">
        <f t="array" ref="G7">IF(ROW(G7)-ROW(G$4)+1&gt;COUNT(I$1:I$40),"",INDEX(H:H,SMALL(I$1:I$40,1+ROW(G7)-ROW(G$4))))</f>
        <v/>
      </c>
      <c r="H7">
        <v>7</v>
      </c>
      <c r="I7" s="1" t="str">
        <f t="shared" si="0"/>
        <v/>
      </c>
      <c r="J7" s="1" t="str" cm="1">
        <f t="array" ref="J7">IF(ROW(G10)-ROW(G$4)+1&gt;COUNT(I$1:I$40),"",INDEX(H:H,SMALL(I$1:I$40,1+ROW(G10)-ROW(G$4))))</f>
        <v/>
      </c>
      <c r="P7" t="str">
        <f ca="1">IF(Summary!Q8="","",IF(F7=Summary!Q8,"Right","Wrong"))</f>
        <v>Wrong</v>
      </c>
      <c r="R7" s="103"/>
      <c r="S7" s="103"/>
    </row>
    <row r="8" spans="1:19" ht="18" customHeight="1" x14ac:dyDescent="0.4">
      <c r="A8" s="4">
        <v>43820</v>
      </c>
      <c r="B8" s="5" t="s">
        <v>20</v>
      </c>
      <c r="C8" s="12" t="s">
        <v>21</v>
      </c>
      <c r="D8" s="13" t="s">
        <v>22</v>
      </c>
      <c r="E8" s="8" t="s">
        <v>22</v>
      </c>
      <c r="F8" s="9">
        <v>6</v>
      </c>
      <c r="G8" s="10" t="str" cm="1">
        <f t="array" ref="G8">IF(ROW(G8)-ROW(G$4)+1&gt;COUNT(I$1:I$40),"",INDEX(H:H,SMALL(I$1:I$40,1+ROW(G8)-ROW(G$4))))</f>
        <v/>
      </c>
      <c r="H8">
        <v>8</v>
      </c>
      <c r="I8" s="1" t="str">
        <f t="shared" si="0"/>
        <v/>
      </c>
      <c r="J8" s="1" t="str" cm="1">
        <f t="array" ref="J8">IF(ROW(G11)-ROW(G$4)+1&gt;COUNT(I$1:I$40),"",INDEX(H:H,SMALL(I$1:I$40,1+ROW(G11)-ROW(G$4))))</f>
        <v/>
      </c>
      <c r="P8" t="str">
        <f ca="1">IF(Summary!Q9="","",IF(F8=Summary!Q9,"Right","Wrong"))</f>
        <v>Right</v>
      </c>
      <c r="R8" s="103"/>
      <c r="S8" s="103"/>
    </row>
    <row r="9" spans="1:19" ht="18" customHeight="1" x14ac:dyDescent="0.4">
      <c r="A9" s="4">
        <v>43820</v>
      </c>
      <c r="B9" s="5" t="s">
        <v>23</v>
      </c>
      <c r="C9" s="12" t="s">
        <v>24</v>
      </c>
      <c r="D9" s="13" t="s">
        <v>25</v>
      </c>
      <c r="E9" s="8" t="s">
        <v>24</v>
      </c>
      <c r="F9" s="9">
        <v>7</v>
      </c>
      <c r="G9" s="10" t="str" cm="1">
        <f t="array" ref="G9">IF(ROW(G9)-ROW(G$4)+1&gt;COUNT(I$1:I$40),"",INDEX(H:H,SMALL(I$1:I$40,1+ROW(G9)-ROW(G$4))))</f>
        <v/>
      </c>
      <c r="H9">
        <v>9</v>
      </c>
      <c r="I9" s="1" t="str">
        <f t="shared" si="0"/>
        <v/>
      </c>
      <c r="J9" s="1" t="str" cm="1">
        <f t="array" ref="J9">IF(ROW(G12)-ROW(G$4)+1&gt;COUNT(I$1:I$40),"",INDEX(H:H,SMALL(I$1:I$40,1+ROW(G12)-ROW(G$4))))</f>
        <v/>
      </c>
      <c r="P9" t="str">
        <f ca="1">IF(Summary!Q10="","",IF(F9=Summary!Q10,"Right","Wrong"))</f>
        <v>Wrong</v>
      </c>
    </row>
    <row r="10" spans="1:19" ht="18" customHeight="1" x14ac:dyDescent="0.4">
      <c r="A10" s="4">
        <v>43820</v>
      </c>
      <c r="B10" s="5" t="s">
        <v>26</v>
      </c>
      <c r="C10" s="12" t="s">
        <v>27</v>
      </c>
      <c r="D10" s="13" t="s">
        <v>28</v>
      </c>
      <c r="E10" s="8" t="s">
        <v>27</v>
      </c>
      <c r="F10" s="9">
        <v>12</v>
      </c>
      <c r="G10" s="10" t="str" cm="1">
        <f t="array" ref="G10">IF(ROW(G10)-ROW(G$4)+1&gt;COUNT(I$1:I$40),"",INDEX(H:H,SMALL(I$1:I$40,1+ROW(G10)-ROW(G$4))))</f>
        <v/>
      </c>
      <c r="H10">
        <v>10</v>
      </c>
      <c r="I10" s="1" t="str">
        <f t="shared" si="0"/>
        <v/>
      </c>
      <c r="J10" s="1" t="str" cm="1">
        <f t="array" ref="J10">IF(ROW(G13)-ROW(G$4)+1&gt;COUNT(I$1:I$40),"",INDEX(H:H,SMALL(I$1:I$40,1+ROW(G13)-ROW(G$4))))</f>
        <v/>
      </c>
      <c r="P10" t="str">
        <f ca="1">IF(Summary!Q11="","",IF(F10=Summary!Q11,"Right","Wrong"))</f>
        <v>Wrong</v>
      </c>
    </row>
    <row r="11" spans="1:19" ht="18" customHeight="1" x14ac:dyDescent="0.4">
      <c r="A11" s="4">
        <v>43820</v>
      </c>
      <c r="B11" s="5" t="s">
        <v>29</v>
      </c>
      <c r="C11" s="12" t="s">
        <v>30</v>
      </c>
      <c r="D11" s="13" t="s">
        <v>31</v>
      </c>
      <c r="E11" s="8" t="s">
        <v>30</v>
      </c>
      <c r="F11" s="9">
        <v>10</v>
      </c>
      <c r="G11" s="10" t="str" cm="1">
        <f t="array" ref="G11">IF(ROW(G11)-ROW(G$4)+1&gt;COUNT(I$1:I$40),"",INDEX(H:H,SMALL(I$1:I$40,1+ROW(G11)-ROW(G$4))))</f>
        <v/>
      </c>
      <c r="H11">
        <v>11</v>
      </c>
      <c r="I11" s="1" t="str">
        <f t="shared" si="0"/>
        <v/>
      </c>
      <c r="J11" s="1" t="str" cm="1">
        <f t="array" ref="J11">IF(ROW(G14)-ROW(G$4)+1&gt;COUNT(I$1:I$40),"",INDEX(H:H,SMALL(I$1:I$40,1+ROW(G14)-ROW(G$4))))</f>
        <v/>
      </c>
      <c r="P11" t="str">
        <f ca="1">IF(Summary!Q12="","",IF(F11=Summary!Q12,"Right","Wrong"))</f>
        <v>Right</v>
      </c>
    </row>
    <row r="12" spans="1:19" ht="18" customHeight="1" x14ac:dyDescent="0.4">
      <c r="A12" s="4">
        <v>43820</v>
      </c>
      <c r="B12" s="5" t="s">
        <v>32</v>
      </c>
      <c r="C12" s="12" t="s">
        <v>33</v>
      </c>
      <c r="D12" s="13" t="s">
        <v>34</v>
      </c>
      <c r="E12" s="8" t="s">
        <v>33</v>
      </c>
      <c r="F12" s="9">
        <v>29</v>
      </c>
      <c r="G12" s="10" t="str" cm="1">
        <f t="array" ref="G12">IF(ROW(G12)-ROW(G$4)+1&gt;COUNT(I$1:I$40),"",INDEX(H:H,SMALL(I$1:I$40,1+ROW(G12)-ROW(G$4))))</f>
        <v/>
      </c>
      <c r="H12">
        <v>12</v>
      </c>
      <c r="I12" s="1" t="str">
        <f t="shared" si="0"/>
        <v/>
      </c>
      <c r="J12" s="1" t="str" cm="1">
        <f t="array" ref="J12">IF(ROW(G15)-ROW(G$4)+1&gt;COUNT(I$1:I$40),"",INDEX(H:H,SMALL(I$1:I$40,1+ROW(G15)-ROW(G$4))))</f>
        <v/>
      </c>
      <c r="P12" t="str">
        <f ca="1">IF(Summary!Q13="","",IF(F12=Summary!Q13,"Right","Wrong"))</f>
        <v>Right</v>
      </c>
    </row>
    <row r="13" spans="1:19" ht="18" customHeight="1" x14ac:dyDescent="0.4">
      <c r="A13" s="4">
        <v>43822</v>
      </c>
      <c r="B13" s="5" t="s">
        <v>35</v>
      </c>
      <c r="C13" s="12" t="s">
        <v>36</v>
      </c>
      <c r="D13" s="13" t="s">
        <v>37</v>
      </c>
      <c r="E13" s="8" t="s">
        <v>37</v>
      </c>
      <c r="F13" s="9">
        <v>4</v>
      </c>
      <c r="G13" s="10" t="str" cm="1">
        <f t="array" ref="G13">IF(ROW(G13)-ROW(G$4)+1&gt;COUNT(I$1:I$40),"",INDEX(H:H,SMALL(I$1:I$40,1+ROW(G13)-ROW(G$4))))</f>
        <v/>
      </c>
      <c r="H13">
        <v>13</v>
      </c>
      <c r="I13" s="1" t="str">
        <f t="shared" si="0"/>
        <v/>
      </c>
      <c r="J13" s="1" t="str" cm="1">
        <f t="array" ref="J13">IF(ROW(G16)-ROW(G$4)+1&gt;COUNT(I$1:I$40),"",INDEX(H:H,SMALL(I$1:I$40,1+ROW(G16)-ROW(G$4))))</f>
        <v/>
      </c>
      <c r="P13" t="str">
        <f ca="1">IF(Summary!Q14="","",IF(F13=Summary!Q14,"Right","Wrong"))</f>
        <v>Wrong</v>
      </c>
    </row>
    <row r="14" spans="1:19" ht="18" customHeight="1" x14ac:dyDescent="0.4">
      <c r="A14" s="4">
        <v>43823</v>
      </c>
      <c r="B14" s="5" t="s">
        <v>38</v>
      </c>
      <c r="C14" s="12" t="s">
        <v>39</v>
      </c>
      <c r="D14" s="13" t="s">
        <v>40</v>
      </c>
      <c r="E14" s="8" t="s">
        <v>40</v>
      </c>
      <c r="F14" s="9">
        <v>16</v>
      </c>
      <c r="G14" s="10" t="str" cm="1">
        <f t="array" ref="G14">IF(ROW(G14)-ROW(G$4)+1&gt;COUNT(I$1:I$40),"",INDEX(H:H,SMALL(I$1:I$40,1+ROW(G14)-ROW(G$4))))</f>
        <v/>
      </c>
      <c r="H14">
        <v>14</v>
      </c>
      <c r="I14" s="1" t="str">
        <f t="shared" si="0"/>
        <v/>
      </c>
      <c r="J14" s="1" t="str" cm="1">
        <f t="array" ref="J14">IF(ROW(G17)-ROW(G$4)+1&gt;COUNT(I$1:I$40),"",INDEX(H:H,SMALL(I$1:I$40,1+ROW(G17)-ROW(G$4))))</f>
        <v/>
      </c>
      <c r="P14" t="str">
        <f ca="1">IF(Summary!Q15="","",IF(F14=Summary!Q15,"Right","Wrong"))</f>
        <v>Wrong</v>
      </c>
    </row>
    <row r="15" spans="1:19" ht="18" customHeight="1" x14ac:dyDescent="0.4">
      <c r="A15" s="4">
        <v>43825</v>
      </c>
      <c r="B15" s="5" t="s">
        <v>41</v>
      </c>
      <c r="C15" s="12" t="s">
        <v>42</v>
      </c>
      <c r="D15" s="13" t="s">
        <v>43</v>
      </c>
      <c r="E15" s="8" t="s">
        <v>42</v>
      </c>
      <c r="F15" s="9">
        <v>11</v>
      </c>
      <c r="G15" s="10" t="str" cm="1">
        <f t="array" ref="G15">IF(ROW(G15)-ROW(G$4)+1&gt;COUNT(I$1:I$40),"",INDEX(H:H,SMALL(I$1:I$40,1+ROW(G15)-ROW(G$4))))</f>
        <v/>
      </c>
      <c r="H15">
        <v>15</v>
      </c>
      <c r="I15" s="1" t="str">
        <f t="shared" si="0"/>
        <v/>
      </c>
      <c r="J15" s="1" t="str" cm="1">
        <f t="array" ref="J15">IF(ROW(G18)-ROW(G$4)+1&gt;COUNT(I$1:I$40),"",INDEX(H:H,SMALL(I$1:I$40,1+ROW(G18)-ROW(G$4))))</f>
        <v/>
      </c>
      <c r="P15" t="str">
        <f ca="1">IF(Summary!Q16="","",IF(F15=Summary!Q16,"Right","Wrong"))</f>
        <v>Wrong</v>
      </c>
    </row>
    <row r="16" spans="1:19" ht="18" customHeight="1" x14ac:dyDescent="0.4">
      <c r="A16" s="4">
        <v>43825</v>
      </c>
      <c r="B16" s="5" t="s">
        <v>44</v>
      </c>
      <c r="C16" s="12" t="s">
        <v>45</v>
      </c>
      <c r="D16" s="13" t="s">
        <v>46</v>
      </c>
      <c r="E16" s="8" t="s">
        <v>46</v>
      </c>
      <c r="F16" s="9">
        <v>20</v>
      </c>
      <c r="G16" s="10" t="str" cm="1">
        <f t="array" ref="G16">IF(ROW(G16)-ROW(G$4)+1&gt;COUNT(I$1:I$40),"",INDEX(H:H,SMALL(I$1:I$40,1+ROW(G16)-ROW(G$4))))</f>
        <v/>
      </c>
      <c r="H16">
        <v>16</v>
      </c>
      <c r="I16" s="1" t="str">
        <f t="shared" si="0"/>
        <v/>
      </c>
      <c r="J16" s="1" t="str" cm="1">
        <f t="array" ref="J16">IF(ROW(G19)-ROW(G$4)+1&gt;COUNT(I$1:I$40),"",INDEX(H:H,SMALL(I$1:I$40,1+ROW(G19)-ROW(G$4))))</f>
        <v/>
      </c>
      <c r="P16" t="str">
        <f ca="1">IF(Summary!Q17="","",IF(F16=Summary!Q17,"Right","Wrong"))</f>
        <v>Wrong</v>
      </c>
    </row>
    <row r="17" spans="1:16" ht="18" customHeight="1" x14ac:dyDescent="0.4">
      <c r="A17" s="4">
        <v>43826</v>
      </c>
      <c r="B17" s="5" t="s">
        <v>47</v>
      </c>
      <c r="C17" s="12" t="s">
        <v>48</v>
      </c>
      <c r="D17" s="13" t="s">
        <v>49</v>
      </c>
      <c r="E17" s="8" t="s">
        <v>49</v>
      </c>
      <c r="F17" s="9">
        <v>8</v>
      </c>
      <c r="G17" s="10" t="str" cm="1">
        <f t="array" ref="G17">IF(ROW(G17)-ROW(G$4)+1&gt;COUNT(I$1:I$40),"",INDEX(H:H,SMALL(I$1:I$40,1+ROW(G17)-ROW(G$4))))</f>
        <v/>
      </c>
      <c r="H17">
        <v>17</v>
      </c>
      <c r="I17" s="1" t="str">
        <f t="shared" si="0"/>
        <v/>
      </c>
      <c r="J17" s="1" t="str" cm="1">
        <f t="array" ref="J17">IF(ROW(G20)-ROW(G$4)+1&gt;COUNT(I$1:I$40),"",INDEX(H:H,SMALL(I$1:I$40,1+ROW(G20)-ROW(G$4))))</f>
        <v/>
      </c>
      <c r="P17" t="str">
        <f ca="1">IF(Summary!Q18="","",IF(F17=Summary!Q18,"Right","Wrong"))</f>
        <v>Wrong</v>
      </c>
    </row>
    <row r="18" spans="1:16" ht="18" customHeight="1" x14ac:dyDescent="0.4">
      <c r="A18" s="4">
        <v>43826</v>
      </c>
      <c r="B18" s="5" t="s">
        <v>50</v>
      </c>
      <c r="C18" s="12" t="s">
        <v>51</v>
      </c>
      <c r="D18" s="13" t="s">
        <v>52</v>
      </c>
      <c r="E18" s="8" t="s">
        <v>51</v>
      </c>
      <c r="F18" s="9">
        <v>9</v>
      </c>
      <c r="G18" s="10" t="str" cm="1">
        <f t="array" ref="G18">IF(ROW(G18)-ROW(G$4)+1&gt;COUNT(I$1:I$40),"",INDEX(H:H,SMALL(I$1:I$40,1+ROW(G18)-ROW(G$4))))</f>
        <v/>
      </c>
      <c r="H18">
        <v>18</v>
      </c>
      <c r="I18" s="1" t="str">
        <f t="shared" si="0"/>
        <v/>
      </c>
      <c r="J18" s="1" t="str" cm="1">
        <f t="array" ref="J18">IF(ROW(G21)-ROW(G$4)+1&gt;COUNT(I$1:I$40),"",INDEX(H:H,SMALL(I$1:I$40,1+ROW(G21)-ROW(G$4))))</f>
        <v/>
      </c>
      <c r="P18" t="str">
        <f ca="1">IF(Summary!Q19="","",IF(F18=Summary!Q19,"Right","Wrong"))</f>
        <v>Wrong</v>
      </c>
    </row>
    <row r="19" spans="1:16" ht="18" customHeight="1" x14ac:dyDescent="0.4">
      <c r="A19" s="4">
        <v>43826</v>
      </c>
      <c r="B19" s="5" t="s">
        <v>53</v>
      </c>
      <c r="C19" s="12" t="s">
        <v>54</v>
      </c>
      <c r="D19" s="13" t="s">
        <v>55</v>
      </c>
      <c r="E19" s="8" t="s">
        <v>55</v>
      </c>
      <c r="F19" s="9">
        <v>13</v>
      </c>
      <c r="G19" s="10" t="str" cm="1">
        <f t="array" ref="G19">IF(ROW(G19)-ROW(G$4)+1&gt;COUNT(I$1:I$40),"",INDEX(H:H,SMALL(I$1:I$40,1+ROW(G19)-ROW(G$4))))</f>
        <v/>
      </c>
      <c r="H19">
        <v>19</v>
      </c>
      <c r="I19" s="1" t="str">
        <f t="shared" si="0"/>
        <v/>
      </c>
      <c r="J19" s="1" t="str" cm="1">
        <f t="array" ref="J19">IF(ROW(G22)-ROW(G$4)+1&gt;COUNT(I$1:I$40),"",INDEX(H:H,SMALL(I$1:I$40,1+ROW(G22)-ROW(G$4))))</f>
        <v/>
      </c>
      <c r="P19" t="str">
        <f ca="1">IF(Summary!Q20="","",IF(F19=Summary!Q20,"Right","Wrong"))</f>
        <v>Right</v>
      </c>
    </row>
    <row r="20" spans="1:16" ht="18" customHeight="1" x14ac:dyDescent="0.4">
      <c r="A20" s="4">
        <v>43826</v>
      </c>
      <c r="B20" s="5" t="s">
        <v>56</v>
      </c>
      <c r="C20" s="12" t="s">
        <v>57</v>
      </c>
      <c r="D20" s="13" t="s">
        <v>58</v>
      </c>
      <c r="E20" s="8" t="s">
        <v>58</v>
      </c>
      <c r="F20" s="9">
        <v>25</v>
      </c>
      <c r="G20" s="10" t="str" cm="1">
        <f t="array" ref="G20">IF(ROW(G20)-ROW(G$4)+1&gt;COUNT(I$1:I$40),"",INDEX(H:H,SMALL(I$1:I$40,1+ROW(G20)-ROW(G$4))))</f>
        <v/>
      </c>
      <c r="H20">
        <v>20</v>
      </c>
      <c r="I20" s="1" t="str">
        <f t="shared" si="0"/>
        <v/>
      </c>
      <c r="J20" s="1" t="str" cm="1">
        <f t="array" ref="J20">IF(ROW(G23)-ROW(G$4)+1&gt;COUNT(I$1:I$40),"",INDEX(H:H,SMALL(I$1:I$40,1+ROW(G23)-ROW(G$4))))</f>
        <v/>
      </c>
      <c r="P20" t="str">
        <f ca="1">IF(Summary!Q21="","",IF(F20=Summary!Q21,"Right","Wrong"))</f>
        <v>Right</v>
      </c>
    </row>
    <row r="21" spans="1:16" ht="18" customHeight="1" x14ac:dyDescent="0.4">
      <c r="A21" s="4">
        <v>43826</v>
      </c>
      <c r="B21" s="5" t="s">
        <v>59</v>
      </c>
      <c r="C21" s="12" t="s">
        <v>60</v>
      </c>
      <c r="D21" s="13" t="s">
        <v>61</v>
      </c>
      <c r="E21" s="8" t="s">
        <v>60</v>
      </c>
      <c r="F21" s="9">
        <v>34</v>
      </c>
      <c r="G21" s="10" t="str" cm="1">
        <f t="array" ref="G21">IF(ROW(G21)-ROW(G$4)+1&gt;COUNT(I$1:I$40),"",INDEX(H:H,SMALL(I$1:I$40,1+ROW(G21)-ROW(G$4))))</f>
        <v/>
      </c>
      <c r="H21">
        <v>21</v>
      </c>
      <c r="I21" s="1" t="str">
        <f t="shared" si="0"/>
        <v/>
      </c>
      <c r="J21" s="1" t="str" cm="1">
        <f t="array" ref="J21">IF(ROW(G24)-ROW(G$4)+1&gt;COUNT(I$1:I$40),"",INDEX(H:H,SMALL(I$1:I$40,1+ROW(G24)-ROW(G$4))))</f>
        <v/>
      </c>
      <c r="P21" t="str">
        <f ca="1">IF(Summary!Q22="","",IF(F21=Summary!Q22,"Right","Wrong"))</f>
        <v>Right</v>
      </c>
    </row>
    <row r="22" spans="1:16" ht="18" customHeight="1" x14ac:dyDescent="0.4">
      <c r="A22" s="4">
        <v>43827</v>
      </c>
      <c r="B22" s="5" t="s">
        <v>62</v>
      </c>
      <c r="C22" s="12" t="s">
        <v>63</v>
      </c>
      <c r="D22" s="13" t="s">
        <v>64</v>
      </c>
      <c r="E22" s="8" t="s">
        <v>63</v>
      </c>
      <c r="F22" s="9">
        <v>38</v>
      </c>
      <c r="G22" s="10" t="str" cm="1">
        <f t="array" ref="G22">IF(ROW(G22)-ROW(G$4)+1&gt;COUNT(I$1:I$40),"",INDEX(H:H,SMALL(I$1:I$40,1+ROW(G22)-ROW(G$4))))</f>
        <v/>
      </c>
      <c r="H22">
        <v>22</v>
      </c>
      <c r="I22" s="1" t="str">
        <f t="shared" si="0"/>
        <v/>
      </c>
      <c r="J22" s="1" t="str" cm="1">
        <f t="array" ref="J22">IF(ROW(G25)-ROW(G$4)+1&gt;COUNT(I$1:I$40),"",INDEX(H:H,SMALL(I$1:I$40,1+ROW(G25)-ROW(G$4))))</f>
        <v/>
      </c>
      <c r="P22" t="str">
        <f ca="1">IF(Summary!Q23="","",IF(F22=Summary!Q23,"Right","Wrong"))</f>
        <v>Right</v>
      </c>
    </row>
    <row r="23" spans="1:16" ht="18" customHeight="1" x14ac:dyDescent="0.4">
      <c r="A23" s="4">
        <v>43827</v>
      </c>
      <c r="B23" s="5" t="s">
        <v>65</v>
      </c>
      <c r="C23" s="12" t="s">
        <v>66</v>
      </c>
      <c r="D23" s="13" t="s">
        <v>67</v>
      </c>
      <c r="E23" s="8" t="s">
        <v>66</v>
      </c>
      <c r="F23" s="9">
        <v>39</v>
      </c>
      <c r="G23" s="10" t="str" cm="1">
        <f t="array" ref="G23">IF(ROW(G23)-ROW(G$4)+1&gt;COUNT(I$1:I$40),"",INDEX(H:H,SMALL(I$1:I$40,1+ROW(G23)-ROW(G$4))))</f>
        <v/>
      </c>
      <c r="H23">
        <v>23</v>
      </c>
      <c r="I23" s="1" t="str">
        <f t="shared" si="0"/>
        <v/>
      </c>
      <c r="J23" s="1" t="str" cm="1">
        <f t="array" ref="J23">IF(ROW(G26)-ROW(G$4)+1&gt;COUNT(I$1:I$40),"",INDEX(H:H,SMALL(I$1:I$40,1+ROW(G26)-ROW(G$4))))</f>
        <v/>
      </c>
      <c r="P23" t="str">
        <f ca="1">IF(Summary!Q24="","",IF(F23=Summary!Q24,"Right","Wrong"))</f>
        <v>Right</v>
      </c>
    </row>
    <row r="24" spans="1:16" ht="18" customHeight="1" x14ac:dyDescent="0.4">
      <c r="A24" s="4">
        <v>43827</v>
      </c>
      <c r="B24" s="5" t="s">
        <v>68</v>
      </c>
      <c r="C24" s="12" t="s">
        <v>69</v>
      </c>
      <c r="D24" s="13" t="s">
        <v>70</v>
      </c>
      <c r="E24" s="8" t="s">
        <v>70</v>
      </c>
      <c r="F24" s="9">
        <v>17</v>
      </c>
      <c r="G24" s="10" t="str" cm="1">
        <f t="array" ref="G24">IF(ROW(G24)-ROW(G$4)+1&gt;COUNT(I$1:I$40),"",INDEX(H:H,SMALL(I$1:I$40,1+ROW(G24)-ROW(G$4))))</f>
        <v/>
      </c>
      <c r="H24">
        <v>24</v>
      </c>
      <c r="I24" s="1" t="str">
        <f t="shared" si="0"/>
        <v/>
      </c>
      <c r="J24" s="1" t="str" cm="1">
        <f t="array" ref="J24">IF(ROW(G27)-ROW(G$4)+1&gt;COUNT(I$1:I$40),"",INDEX(H:H,SMALL(I$1:I$40,1+ROW(G27)-ROW(G$4))))</f>
        <v/>
      </c>
      <c r="P24" t="str">
        <f ca="1">IF(Summary!Q25="","",IF(F24=Summary!Q25,"Right","Wrong"))</f>
        <v>Wrong</v>
      </c>
    </row>
    <row r="25" spans="1:16" ht="18" customHeight="1" x14ac:dyDescent="0.4">
      <c r="A25" s="4">
        <v>43827</v>
      </c>
      <c r="B25" s="5" t="s">
        <v>71</v>
      </c>
      <c r="C25" s="12" t="s">
        <v>72</v>
      </c>
      <c r="D25" s="13" t="s">
        <v>73</v>
      </c>
      <c r="E25" s="8" t="s">
        <v>73</v>
      </c>
      <c r="F25" s="9">
        <v>22</v>
      </c>
      <c r="G25" s="10" t="str" cm="1">
        <f t="array" ref="G25">IF(ROW(G25)-ROW(G$4)+1&gt;COUNT(I$1:I$40),"",INDEX(H:H,SMALL(I$1:I$40,1+ROW(G25)-ROW(G$4))))</f>
        <v/>
      </c>
      <c r="H25">
        <v>25</v>
      </c>
      <c r="I25" s="1" t="str">
        <f t="shared" si="0"/>
        <v/>
      </c>
      <c r="J25" s="1" t="str" cm="1">
        <f t="array" ref="J25">IF(ROW(G28)-ROW(G$4)+1&gt;COUNT(I$1:I$40),"",INDEX(H:H,SMALL(I$1:I$40,1+ROW(G28)-ROW(G$4))))</f>
        <v/>
      </c>
      <c r="P25" t="str">
        <f ca="1">IF(Summary!Q26="","",IF(F25=Summary!Q26,"Right","Wrong"))</f>
        <v>Right</v>
      </c>
    </row>
    <row r="26" spans="1:16" ht="18" customHeight="1" x14ac:dyDescent="0.4">
      <c r="A26" s="4">
        <v>43829</v>
      </c>
      <c r="B26" s="5" t="s">
        <v>74</v>
      </c>
      <c r="C26" s="12" t="s">
        <v>75</v>
      </c>
      <c r="D26" s="13" t="s">
        <v>76</v>
      </c>
      <c r="E26" s="8" t="s">
        <v>75</v>
      </c>
      <c r="F26" s="9">
        <v>5</v>
      </c>
      <c r="G26" s="10" t="str" cm="1">
        <f t="array" ref="G26">IF(ROW(G26)-ROW(G$4)+1&gt;COUNT(I$1:I$40),"",INDEX(H:H,SMALL(I$1:I$40,1+ROW(G26)-ROW(G$4))))</f>
        <v/>
      </c>
      <c r="H26">
        <v>26</v>
      </c>
      <c r="I26" s="1" t="str">
        <f t="shared" si="0"/>
        <v/>
      </c>
      <c r="J26" s="1" t="str" cm="1">
        <f t="array" ref="J26">IF(ROW(G29)-ROW(G$4)+1&gt;COUNT(I$1:I$40),"",INDEX(H:H,SMALL(I$1:I$40,1+ROW(G29)-ROW(G$4))))</f>
        <v/>
      </c>
      <c r="P26" t="str">
        <f ca="1">IF(Summary!Q27="","",IF(F26=Summary!Q27,"Right","Wrong"))</f>
        <v>Right</v>
      </c>
    </row>
    <row r="27" spans="1:16" ht="18" customHeight="1" x14ac:dyDescent="0.4">
      <c r="A27" s="4">
        <v>43829</v>
      </c>
      <c r="B27" s="5" t="s">
        <v>77</v>
      </c>
      <c r="C27" s="12" t="s">
        <v>78</v>
      </c>
      <c r="D27" s="13" t="s">
        <v>148</v>
      </c>
      <c r="E27" s="8" t="s">
        <v>148</v>
      </c>
      <c r="F27" s="9">
        <v>14</v>
      </c>
      <c r="G27" s="10" t="str" cm="1">
        <f t="array" ref="G27">IF(ROW(G27)-ROW(G$4)+1&gt;COUNT(I$1:I$40),"",INDEX(H:H,SMALL(I$1:I$40,1+ROW(G27)-ROW(G$4))))</f>
        <v/>
      </c>
      <c r="H27">
        <v>27</v>
      </c>
      <c r="I27" s="1" t="str">
        <f t="shared" si="0"/>
        <v/>
      </c>
      <c r="J27" s="1" t="str" cm="1">
        <f t="array" ref="J27">IF(ROW(G30)-ROW(G$4)+1&gt;COUNT(I$1:I$40),"",INDEX(H:H,SMALL(I$1:I$40,1+ROW(G30)-ROW(G$4))))</f>
        <v/>
      </c>
      <c r="P27" t="str">
        <f ca="1">IF(Summary!Q28="","",IF(F27=Summary!Q28,"Right","Wrong"))</f>
        <v>Right</v>
      </c>
    </row>
    <row r="28" spans="1:16" ht="18" customHeight="1" x14ac:dyDescent="0.4">
      <c r="A28" s="4">
        <v>43829</v>
      </c>
      <c r="B28" s="5" t="s">
        <v>80</v>
      </c>
      <c r="C28" s="12" t="s">
        <v>81</v>
      </c>
      <c r="D28" s="13" t="s">
        <v>82</v>
      </c>
      <c r="E28" s="8" t="s">
        <v>82</v>
      </c>
      <c r="F28" s="9">
        <v>18</v>
      </c>
      <c r="G28" s="10" t="str" cm="1">
        <f t="array" ref="G28">IF(ROW(G28)-ROW(G$4)+1&gt;COUNT(I$1:I$40),"",INDEX(H:H,SMALL(I$1:I$40,1+ROW(G28)-ROW(G$4))))</f>
        <v/>
      </c>
      <c r="H28">
        <v>28</v>
      </c>
      <c r="I28" s="1" t="str">
        <f t="shared" si="0"/>
        <v/>
      </c>
      <c r="J28" s="1" t="str" cm="1">
        <f t="array" ref="J28">IF(ROW(G31)-ROW(G$4)+1&gt;COUNT(I$1:I$40),"",INDEX(H:H,SMALL(I$1:I$40,1+ROW(G31)-ROW(G$4))))</f>
        <v/>
      </c>
      <c r="P28" t="str">
        <f ca="1">IF(Summary!Q29="","",IF(F28=Summary!Q29,"Right","Wrong"))</f>
        <v>Right</v>
      </c>
    </row>
    <row r="29" spans="1:16" ht="18" customHeight="1" x14ac:dyDescent="0.4">
      <c r="A29" s="4">
        <v>43829</v>
      </c>
      <c r="B29" s="5" t="s">
        <v>83</v>
      </c>
      <c r="C29" s="12" t="s">
        <v>84</v>
      </c>
      <c r="D29" s="13" t="s">
        <v>85</v>
      </c>
      <c r="E29" s="8" t="s">
        <v>85</v>
      </c>
      <c r="F29" s="9">
        <v>30</v>
      </c>
      <c r="G29" s="10" t="str" cm="1">
        <f t="array" ref="G29">IF(ROW(G29)-ROW(G$4)+1&gt;COUNT(I$1:I$40),"",INDEX(H:H,SMALL(I$1:I$40,1+ROW(G29)-ROW(G$4))))</f>
        <v/>
      </c>
      <c r="H29">
        <v>29</v>
      </c>
      <c r="I29" s="1" t="str">
        <f t="shared" si="0"/>
        <v/>
      </c>
      <c r="J29" s="1" t="str" cm="1">
        <f t="array" ref="J29">IF(ROW(G32)-ROW(G$4)+1&gt;COUNT(I$1:I$40),"",INDEX(H:H,SMALL(I$1:I$40,1+ROW(G32)-ROW(G$4))))</f>
        <v/>
      </c>
      <c r="P29" t="str">
        <f ca="1">IF(Summary!Q30="","",IF(F29=Summary!Q30,"Right","Wrong"))</f>
        <v>Wrong</v>
      </c>
    </row>
    <row r="30" spans="1:16" ht="18" customHeight="1" x14ac:dyDescent="0.4">
      <c r="A30" s="4">
        <v>43830</v>
      </c>
      <c r="B30" s="5" t="s">
        <v>86</v>
      </c>
      <c r="C30" s="12" t="s">
        <v>87</v>
      </c>
      <c r="D30" s="13" t="s">
        <v>88</v>
      </c>
      <c r="E30" s="8" t="s">
        <v>87</v>
      </c>
      <c r="F30" s="9">
        <v>19</v>
      </c>
      <c r="G30" s="10" t="str" cm="1">
        <f t="array" ref="G30">IF(ROW(G30)-ROW(G$4)+1&gt;COUNT(I$1:I$40),"",INDEX(H:H,SMALL(I$1:I$40,1+ROW(G30)-ROW(G$4))))</f>
        <v/>
      </c>
      <c r="H30">
        <v>30</v>
      </c>
      <c r="I30" s="1" t="str">
        <f t="shared" si="0"/>
        <v/>
      </c>
      <c r="J30" s="1" t="str" cm="1">
        <f t="array" ref="J30">IF(ROW(G33)-ROW(G$4)+1&gt;COUNT(I$1:I$40),"",INDEX(H:H,SMALL(I$1:I$40,1+ROW(G33)-ROW(G$4))))</f>
        <v/>
      </c>
      <c r="P30" t="str">
        <f ca="1">IF(Summary!Q31="","",IF(F30=Summary!Q31,"Right","Wrong"))</f>
        <v>Right</v>
      </c>
    </row>
    <row r="31" spans="1:16" ht="18" customHeight="1" x14ac:dyDescent="0.4">
      <c r="A31" s="4">
        <v>43830</v>
      </c>
      <c r="B31" s="5" t="s">
        <v>89</v>
      </c>
      <c r="C31" s="12" t="s">
        <v>90</v>
      </c>
      <c r="D31" s="13" t="s">
        <v>91</v>
      </c>
      <c r="E31" s="8" t="s">
        <v>90</v>
      </c>
      <c r="F31" s="9">
        <v>28</v>
      </c>
      <c r="G31" s="10" t="str" cm="1">
        <f t="array" ref="G31">IF(ROW(G31)-ROW(G$4)+1&gt;COUNT(I$1:I$40),"",INDEX(H:H,SMALL(I$1:I$40,1+ROW(G31)-ROW(G$4))))</f>
        <v/>
      </c>
      <c r="H31">
        <v>31</v>
      </c>
      <c r="I31" s="1" t="str">
        <f t="shared" si="0"/>
        <v/>
      </c>
      <c r="J31" s="1" t="str" cm="1">
        <f t="array" ref="J31">IF(ROW(G34)-ROW(G$4)+1&gt;COUNT(I$1:I$40),"",INDEX(H:H,SMALL(I$1:I$40,1+ROW(G34)-ROW(G$4))))</f>
        <v/>
      </c>
      <c r="P31" t="str">
        <f ca="1">IF(Summary!Q32="","",IF(F31=Summary!Q32,"Right","Wrong"))</f>
        <v>Wrong</v>
      </c>
    </row>
    <row r="32" spans="1:16" ht="18" customHeight="1" x14ac:dyDescent="0.4">
      <c r="A32" s="4">
        <v>43830</v>
      </c>
      <c r="B32" s="5" t="s">
        <v>92</v>
      </c>
      <c r="C32" s="12" t="s">
        <v>93</v>
      </c>
      <c r="D32" s="13" t="s">
        <v>94</v>
      </c>
      <c r="E32" s="8" t="s">
        <v>93</v>
      </c>
      <c r="F32" s="9">
        <v>35</v>
      </c>
      <c r="G32" s="10" t="str" cm="1">
        <f t="array" ref="G32">IF(ROW(G32)-ROW(G$4)+1&gt;COUNT(I$1:I$40),"",INDEX(H:H,SMALL(I$1:I$40,1+ROW(G32)-ROW(G$4))))</f>
        <v/>
      </c>
      <c r="H32">
        <v>32</v>
      </c>
      <c r="I32" s="1" t="str">
        <f t="shared" si="0"/>
        <v/>
      </c>
      <c r="J32" s="1" t="str" cm="1">
        <f t="array" ref="J32">IF(ROW(G35)-ROW(G$4)+1&gt;COUNT(I$1:I$40),"",INDEX(H:H,SMALL(I$1:I$40,1+ROW(G35)-ROW(G$4))))</f>
        <v/>
      </c>
      <c r="P32" t="str">
        <f ca="1">IF(Summary!Q33="","",IF(F32=Summary!Q33,"Right","Wrong"))</f>
        <v>Right</v>
      </c>
    </row>
    <row r="33" spans="1:16" ht="18" customHeight="1" x14ac:dyDescent="0.4">
      <c r="A33" s="4">
        <v>43830</v>
      </c>
      <c r="B33" s="5" t="s">
        <v>95</v>
      </c>
      <c r="C33" s="12" t="s">
        <v>96</v>
      </c>
      <c r="D33" s="13" t="s">
        <v>97</v>
      </c>
      <c r="E33" s="8" t="s">
        <v>97</v>
      </c>
      <c r="F33" s="9">
        <v>26</v>
      </c>
      <c r="G33" s="10" t="str" cm="1">
        <f t="array" ref="G33">IF(ROW(G33)-ROW(G$4)+1&gt;COUNT(I$1:I$40),"",INDEX(H:H,SMALL(I$1:I$40,1+ROW(G33)-ROW(G$4))))</f>
        <v/>
      </c>
      <c r="H33">
        <v>33</v>
      </c>
      <c r="I33" s="1" t="str">
        <f t="shared" si="0"/>
        <v/>
      </c>
      <c r="J33" s="1" t="str" cm="1">
        <f t="array" ref="J33">IF(ROW(G36)-ROW(G$4)+1&gt;COUNT(I$1:I$40),"",INDEX(H:H,SMALL(I$1:I$40,1+ROW(G36)-ROW(G$4))))</f>
        <v/>
      </c>
      <c r="P33" t="str">
        <f ca="1">IF(Summary!Q34="","",IF(F33=Summary!Q34,"Right","Wrong"))</f>
        <v>Right</v>
      </c>
    </row>
    <row r="34" spans="1:16" ht="18" customHeight="1" x14ac:dyDescent="0.4">
      <c r="A34" s="4">
        <v>43830</v>
      </c>
      <c r="B34" s="5" t="s">
        <v>98</v>
      </c>
      <c r="C34" s="12" t="s">
        <v>99</v>
      </c>
      <c r="D34" s="13" t="s">
        <v>100</v>
      </c>
      <c r="E34" s="8" t="s">
        <v>99</v>
      </c>
      <c r="F34" s="9">
        <v>2</v>
      </c>
      <c r="G34" s="10" t="str" cm="1">
        <f t="array" ref="G34">IF(ROW(G34)-ROW(G$4)+1&gt;COUNT(I$1:I$40),"",INDEX(H:H,SMALL(I$1:I$40,1+ROW(G34)-ROW(G$4))))</f>
        <v/>
      </c>
      <c r="H34">
        <v>34</v>
      </c>
      <c r="I34" s="1" t="str">
        <f t="shared" si="0"/>
        <v/>
      </c>
      <c r="J34" s="1" t="str" cm="1">
        <f t="array" ref="J34">IF(ROW(G37)-ROW(G$4)+1&gt;COUNT(I$1:I$40),"",INDEX(H:H,SMALL(I$1:I$40,1+ROW(G37)-ROW(G$4))))</f>
        <v/>
      </c>
      <c r="P34" t="str">
        <f ca="1">IF(Summary!Q35="","",IF(F34=Summary!Q35,"Right","Wrong"))</f>
        <v>Wrong</v>
      </c>
    </row>
    <row r="35" spans="1:16" ht="18" customHeight="1" x14ac:dyDescent="0.4">
      <c r="A35" s="4">
        <v>43466</v>
      </c>
      <c r="B35" s="5" t="s">
        <v>101</v>
      </c>
      <c r="C35" s="12" t="s">
        <v>102</v>
      </c>
      <c r="D35" s="13" t="s">
        <v>103</v>
      </c>
      <c r="E35" s="8" t="s">
        <v>103</v>
      </c>
      <c r="F35" s="9">
        <v>21</v>
      </c>
      <c r="G35" s="10" t="str" cm="1">
        <f t="array" ref="G35">IF(ROW(G35)-ROW(G$4)+1&gt;COUNT(I$1:I$40),"",INDEX(H:H,SMALL(I$1:I$40,1+ROW(G35)-ROW(G$4))))</f>
        <v/>
      </c>
      <c r="H35">
        <v>35</v>
      </c>
      <c r="I35" s="1" t="str">
        <f t="shared" si="0"/>
        <v/>
      </c>
      <c r="J35" s="1" t="str" cm="1">
        <f t="array" ref="J35">IF(ROW(G38)-ROW(G$4)+1&gt;COUNT(I$1:I$40),"",INDEX(H:H,SMALL(I$1:I$40,1+ROW(G38)-ROW(G$4))))</f>
        <v/>
      </c>
      <c r="P35" t="str">
        <f ca="1">IF(Summary!Q36="","",IF(F35=Summary!Q36,"Right","Wrong"))</f>
        <v>Wrong</v>
      </c>
    </row>
    <row r="36" spans="1:16" ht="18" customHeight="1" x14ac:dyDescent="0.4">
      <c r="A36" s="4">
        <v>43466</v>
      </c>
      <c r="B36" s="5" t="s">
        <v>104</v>
      </c>
      <c r="C36" s="12" t="s">
        <v>105</v>
      </c>
      <c r="D36" s="13" t="s">
        <v>106</v>
      </c>
      <c r="E36" s="8" t="s">
        <v>106</v>
      </c>
      <c r="F36" s="9">
        <v>27</v>
      </c>
      <c r="G36" s="10" t="str" cm="1">
        <f t="array" ref="G36">IF(ROW(G36)-ROW(G$4)+1&gt;COUNT(I$1:I$40),"",INDEX(H:H,SMALL(I$1:I$40,1+ROW(G36)-ROW(G$4))))</f>
        <v/>
      </c>
      <c r="H36">
        <v>36</v>
      </c>
      <c r="I36" s="1" t="str">
        <f t="shared" si="0"/>
        <v/>
      </c>
      <c r="J36" s="1" t="str" cm="1">
        <f t="array" ref="J36">IF(ROW(G39)-ROW(G$4)+1&gt;COUNT(I$1:I$40),"",INDEX(H:H,SMALL(I$1:I$40,1+ROW(G39)-ROW(G$4))))</f>
        <v/>
      </c>
      <c r="P36" t="str">
        <f ca="1">IF(Summary!Q37="","",IF(F36=Summary!Q37,"Right","Wrong"))</f>
        <v>Right</v>
      </c>
    </row>
    <row r="37" spans="1:16" ht="18" customHeight="1" x14ac:dyDescent="0.4">
      <c r="A37" s="4">
        <v>43466</v>
      </c>
      <c r="B37" s="5" t="s">
        <v>107</v>
      </c>
      <c r="C37" s="12" t="s">
        <v>108</v>
      </c>
      <c r="D37" s="13" t="s">
        <v>109</v>
      </c>
      <c r="E37" s="8" t="s">
        <v>109</v>
      </c>
      <c r="F37" s="9">
        <v>32</v>
      </c>
      <c r="G37" s="10" t="str" cm="1">
        <f t="array" ref="G37">IF(ROW(G37)-ROW(G$4)+1&gt;COUNT(I$1:I$40),"",INDEX(H:H,SMALL(I$1:I$40,1+ROW(G37)-ROW(G$4))))</f>
        <v/>
      </c>
      <c r="H37">
        <v>37</v>
      </c>
      <c r="I37" s="1" t="str">
        <f t="shared" si="0"/>
        <v/>
      </c>
      <c r="J37" s="1" t="str" cm="1">
        <f t="array" ref="J37">IF(ROW(G40)-ROW(G$4)+1&gt;COUNT(I$1:I$40),"",INDEX(H:H,SMALL(I$1:I$40,1+ROW(G40)-ROW(G$4))))</f>
        <v/>
      </c>
      <c r="P37" t="str">
        <f ca="1">IF(Summary!Q38="","",IF(F37=Summary!Q38,"Right","Wrong"))</f>
        <v>Wrong</v>
      </c>
    </row>
    <row r="38" spans="1:16" ht="18" customHeight="1" x14ac:dyDescent="0.4">
      <c r="A38" s="4">
        <v>43466</v>
      </c>
      <c r="B38" s="5" t="s">
        <v>110</v>
      </c>
      <c r="C38" s="12" t="s">
        <v>111</v>
      </c>
      <c r="D38" s="13" t="s">
        <v>112</v>
      </c>
      <c r="E38" s="8" t="s">
        <v>111</v>
      </c>
      <c r="F38" s="9">
        <v>37</v>
      </c>
      <c r="G38" s="10" t="str" cm="1">
        <f t="array" ref="G38">IF(ROW(G38)-ROW(G$4)+1&gt;COUNT(I$1:I$40),"",INDEX(H:H,SMALL(I$1:I$40,1+ROW(G38)-ROW(G$4))))</f>
        <v/>
      </c>
      <c r="H38">
        <v>38</v>
      </c>
      <c r="I38" s="1" t="str">
        <f t="shared" si="0"/>
        <v/>
      </c>
      <c r="J38" s="1" t="str" cm="1">
        <f t="array" ref="J38">IF(ROW(G41)-ROW(G$4)+1&gt;COUNT(I$1:I$40),"",INDEX(H:H,SMALL(I$1:I$40,1+ROW(G41)-ROW(G$4))))</f>
        <v/>
      </c>
      <c r="P38" t="str">
        <f ca="1">IF(Summary!Q39="","",IF(F38=Summary!Q39,"Right","Wrong"))</f>
        <v>Right</v>
      </c>
    </row>
    <row r="39" spans="1:16" ht="18" customHeight="1" x14ac:dyDescent="0.4">
      <c r="A39" s="4">
        <v>43467</v>
      </c>
      <c r="B39" s="5" t="s">
        <v>113</v>
      </c>
      <c r="C39" s="12" t="s">
        <v>114</v>
      </c>
      <c r="D39" s="13" t="s">
        <v>115</v>
      </c>
      <c r="E39" s="8" t="s">
        <v>115</v>
      </c>
      <c r="F39" s="9">
        <v>36</v>
      </c>
      <c r="G39" s="10" t="str" cm="1">
        <f t="array" ref="G39">IF(ROW(G39)-ROW(G$4)+1&gt;COUNT(I$1:I$40),"",INDEX(H:H,SMALL(I$1:I$40,1+ROW(G39)-ROW(G$4))))</f>
        <v/>
      </c>
      <c r="H39">
        <v>39</v>
      </c>
      <c r="I39" s="1" t="str">
        <f t="shared" si="0"/>
        <v/>
      </c>
      <c r="J39" s="1" t="str" cm="1">
        <f t="array" ref="J39">IF(ROW(G42)-ROW(G$4)+1&gt;COUNT(I$1:I$40),"",INDEX(H:H,SMALL(I$1:I$40,1+ROW(G42)-ROW(G$4))))</f>
        <v/>
      </c>
      <c r="P39" t="str">
        <f ca="1">IF(Summary!Q40="","",IF(F39=Summary!Q40,"Right","Wrong"))</f>
        <v>Right</v>
      </c>
    </row>
    <row r="40" spans="1:16" ht="18" customHeight="1" x14ac:dyDescent="0.4">
      <c r="A40" s="4">
        <v>43467</v>
      </c>
      <c r="B40" s="5" t="s">
        <v>116</v>
      </c>
      <c r="C40" s="12" t="s">
        <v>117</v>
      </c>
      <c r="D40" s="13" t="s">
        <v>118</v>
      </c>
      <c r="E40" s="8" t="s">
        <v>118</v>
      </c>
      <c r="F40" s="9">
        <v>23</v>
      </c>
      <c r="G40" s="10" t="str" cm="1">
        <f t="array" ref="G40">IF(ROW(G40)-ROW(G$4)+1&gt;COUNT(I$1:I$40),"",INDEX(H:H,SMALL(I$1:I$40,1+ROW(G40)-ROW(G$4))))</f>
        <v/>
      </c>
      <c r="H40">
        <v>40</v>
      </c>
      <c r="I40" s="1" t="str">
        <f t="shared" si="0"/>
        <v/>
      </c>
      <c r="J40" s="1" t="str" cm="1">
        <f t="array" ref="J40">IF(ROW(G43)-ROW(G$4)+1&gt;COUNT(I$1:I$40),"",INDEX(H:H,SMALL(I$1:I$40,1+ROW(G43)-ROW(G$4))))</f>
        <v/>
      </c>
      <c r="P40" t="str">
        <f ca="1">IF(Summary!Q41="","",IF(F40=Summary!Q41,"Right","Wrong"))</f>
        <v>Wrong</v>
      </c>
    </row>
    <row r="41" spans="1:16" ht="18" customHeight="1" x14ac:dyDescent="0.4">
      <c r="A41" s="4">
        <v>43468</v>
      </c>
      <c r="B41" s="5" t="s">
        <v>119</v>
      </c>
      <c r="C41" s="12" t="s">
        <v>120</v>
      </c>
      <c r="D41" s="13" t="s">
        <v>121</v>
      </c>
      <c r="E41" s="8" t="s">
        <v>120</v>
      </c>
      <c r="F41" s="9">
        <v>31</v>
      </c>
      <c r="G41" s="10" t="str" cm="1">
        <f t="array" ref="G41">IF(ROW(G41)-ROW(G$4)+1&gt;COUNT(I$1:I$40),"",INDEX(H:H,SMALL(I$1:I$40,1+ROW(G41)-ROW(G$4))))</f>
        <v/>
      </c>
      <c r="I41" s="1"/>
      <c r="J41" s="1" t="str" cm="1">
        <f t="array" ref="J41">IF(ROW(G44)-ROW(G$4)+1&gt;COUNT(I$1:I$40),"",INDEX(H:H,SMALL(I$1:I$40,1+ROW(G44)-ROW(G$4))))</f>
        <v/>
      </c>
      <c r="P41" t="str">
        <f ca="1">IF(Summary!Q42="","",IF(F41=Summary!Q42,"Right","Wrong"))</f>
        <v>Right</v>
      </c>
    </row>
    <row r="42" spans="1:16" ht="18" customHeight="1" x14ac:dyDescent="0.4">
      <c r="A42" s="4">
        <v>43469</v>
      </c>
      <c r="B42" s="5" t="s">
        <v>122</v>
      </c>
      <c r="C42" s="12" t="s">
        <v>123</v>
      </c>
      <c r="D42" s="13" t="s">
        <v>124</v>
      </c>
      <c r="E42" s="8" t="s">
        <v>123</v>
      </c>
      <c r="F42" s="9">
        <v>3</v>
      </c>
      <c r="G42" s="10" t="str" cm="1">
        <f t="array" ref="G42">IF(ROW(G42)-ROW(G$4)+1&gt;COUNT(I$1:I$40),"",INDEX(H:H,SMALL(I$1:I$40,1+ROW(G42)-ROW(G$4))))</f>
        <v/>
      </c>
      <c r="H42" s="14"/>
      <c r="P42" t="str">
        <f ca="1">IF(Summary!Q43="","",IF(F42=Summary!Q43,"Right","Wrong"))</f>
        <v>Right</v>
      </c>
    </row>
    <row r="43" spans="1:16" ht="18" customHeight="1" thickBot="1" x14ac:dyDescent="0.45">
      <c r="A43" s="15">
        <v>43471</v>
      </c>
      <c r="B43" s="16" t="s">
        <v>125</v>
      </c>
      <c r="C43" s="17" t="s">
        <v>126</v>
      </c>
      <c r="D43" s="18" t="s">
        <v>127</v>
      </c>
      <c r="E43" s="19" t="s">
        <v>127</v>
      </c>
      <c r="F43" s="20">
        <v>40</v>
      </c>
      <c r="G43" s="21" t="str" cm="1">
        <f t="array" ref="G43">IF(ROW(G43)-ROW(G$4)+1&gt;COUNT(I$1:I$40),"",INDEX(H:H,SMALL(I$1:I$40,1+ROW(G43)-ROW(G$4))))</f>
        <v/>
      </c>
      <c r="H43" s="14"/>
      <c r="P43" t="str">
        <f ca="1">IF(Summary!Q44="","",IF(F43=Summary!Q44,"Right","Wrong"))</f>
        <v>Wrong</v>
      </c>
    </row>
    <row r="44" spans="1:16" ht="18" customHeight="1" x14ac:dyDescent="0.4">
      <c r="A44" s="22"/>
      <c r="B44" s="104" t="s">
        <v>128</v>
      </c>
      <c r="C44" s="104"/>
      <c r="D44" s="104"/>
      <c r="E44" s="23"/>
      <c r="F44" s="24"/>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B1 E4:F44">
    <cfRule type="containsBlanks" dxfId="12" priority="4">
      <formula>LEN(TRIM(B1))=0</formula>
    </cfRule>
  </conditionalFormatting>
  <conditionalFormatting sqref="F4:F44">
    <cfRule type="duplicateValues" dxfId="11" priority="3"/>
  </conditionalFormatting>
  <conditionalFormatting sqref="P4:P43">
    <cfRule type="cellIs" dxfId="10" priority="1" operator="equal">
      <formula>"Wrong"</formula>
    </cfRule>
    <cfRule type="cellIs" dxfId="9" priority="2" operator="equal">
      <formula>"Right"</formula>
    </cfRule>
  </conditionalFormatting>
  <dataValidations count="3">
    <dataValidation type="list" allowBlank="1" showInputMessage="1" sqref="F4:F43" xr:uid="{D5745129-DC05-4D38-A2A9-2646E8833577}">
      <formula1>Confidence_Count</formula1>
    </dataValidation>
    <dataValidation type="list" errorStyle="warning" allowBlank="1" showInputMessage="1" sqref="E4:E43" xr:uid="{69C11244-6B2D-40A8-8B22-B3EA51D3E2FD}">
      <formula1>$C4:$D4</formula1>
    </dataValidation>
    <dataValidation type="list" allowBlank="1" showInputMessage="1" showErrorMessage="1" sqref="E44" xr:uid="{C89A3AD3-E018-40F6-8EB5-9006990650CE}">
      <formula1>"LSU,Ohio State,Clemson,Oklahoma"</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0A7EF-A621-44C9-96A7-DF3DFB5641CD}">
  <sheetPr codeName="Sheet19"/>
  <dimension ref="A1:S44"/>
  <sheetViews>
    <sheetView showGridLines="0" topLeftCell="A34" workbookViewId="0">
      <selection sqref="A1:A2"/>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x14ac:dyDescent="0.35">
      <c r="A1" s="105" t="s">
        <v>0</v>
      </c>
      <c r="B1" s="105" t="str">
        <f>IF(ISBLANK([7]Instructions!G3),"",[7]Instructions!G3)</f>
        <v xml:space="preserve">Courtney </v>
      </c>
      <c r="F1" s="107" t="s">
        <v>1</v>
      </c>
      <c r="G1" s="105" t="str">
        <f>IF(ISBLANK([7]Instructions!G4),"",[7]Instructions!G4)</f>
        <v>Yes</v>
      </c>
      <c r="H1">
        <v>1</v>
      </c>
      <c r="I1" s="1" t="str">
        <f t="shared" ref="I1:I40" si="0">IF(COUNTIF($F$4:$F$43,H1)&gt;=1,"",ROW())</f>
        <v/>
      </c>
      <c r="J1" s="1" t="str" cm="1">
        <f t="array" ref="J1">IF(ROW(G4)-ROW(G$4)+1&gt;COUNT(I$1:I$40),"",INDEX(H:H,SMALL(I$1:I$40,1+ROW(G4)-ROW(G$4))))</f>
        <v/>
      </c>
    </row>
    <row r="2" spans="1:19" ht="15"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3" t="s">
        <v>2</v>
      </c>
      <c r="B3" s="3" t="s">
        <v>3</v>
      </c>
      <c r="C3" s="109" t="s">
        <v>4</v>
      </c>
      <c r="D3" s="109"/>
      <c r="E3" s="3" t="s">
        <v>5</v>
      </c>
      <c r="F3" s="3" t="s">
        <v>6</v>
      </c>
      <c r="G3" s="3" t="s">
        <v>7</v>
      </c>
      <c r="H3">
        <v>3</v>
      </c>
      <c r="I3" s="1" t="str">
        <f t="shared" si="0"/>
        <v/>
      </c>
      <c r="J3" s="1" t="str" cm="1">
        <f t="array" ref="J3">IF(ROW(G6)-ROW(G$4)+1&gt;COUNT(I$1:I$40),"",INDEX(H:H,SMALL(I$1:I$40,1+ROW(G6)-ROW(G$4))))</f>
        <v/>
      </c>
      <c r="P3" t="str">
        <f ca="1">_xlfn.CONCAT(COUNTIF(P4:P43,"Right")&amp;"/"&amp;(COUNTIF(P4:P43,"Right")+COUNTIF(P4:P43,"Wrong")))</f>
        <v>27/40</v>
      </c>
    </row>
    <row r="4" spans="1:19" ht="18" customHeight="1" thickTop="1" x14ac:dyDescent="0.4">
      <c r="A4" s="4">
        <v>43819</v>
      </c>
      <c r="B4" s="5" t="s">
        <v>8</v>
      </c>
      <c r="C4" s="6" t="s">
        <v>9</v>
      </c>
      <c r="D4" s="7" t="s">
        <v>10</v>
      </c>
      <c r="E4" s="8" t="s">
        <v>10</v>
      </c>
      <c r="F4" s="9">
        <v>2</v>
      </c>
      <c r="G4" s="10" t="str" cm="1">
        <f t="array" ref="G4">IF(ROW(G4)-ROW(G$4)+1&gt;COUNT(I$1:I$40),"",INDEX(H:H,SMALL(I$1:I$40,1+ROW(G4)-ROW(G$4))))</f>
        <v/>
      </c>
      <c r="H4">
        <v>4</v>
      </c>
      <c r="I4" s="1" t="str">
        <f t="shared" si="0"/>
        <v/>
      </c>
      <c r="J4" s="1" t="str" cm="1">
        <f t="array" ref="J4">IF(ROW(G7)-ROW(G$4)+1&gt;COUNT(I$1:I$40),"",INDEX(H:H,SMALL(I$1:I$40,1+ROW(G7)-ROW(G$4))))</f>
        <v/>
      </c>
      <c r="N4" s="11"/>
      <c r="P4" t="str">
        <f ca="1">IF(Summary!R5="","",IF(F4=Summary!R5,"Right","Wrong"))</f>
        <v>Wrong</v>
      </c>
    </row>
    <row r="5" spans="1:19" ht="18" customHeight="1" x14ac:dyDescent="0.4">
      <c r="A5" s="4">
        <v>43819</v>
      </c>
      <c r="B5" s="5" t="s">
        <v>11</v>
      </c>
      <c r="C5" s="12" t="s">
        <v>12</v>
      </c>
      <c r="D5" s="13" t="s">
        <v>13</v>
      </c>
      <c r="E5" s="8" t="s">
        <v>12</v>
      </c>
      <c r="F5" s="9">
        <v>3</v>
      </c>
      <c r="G5" s="10" t="str" cm="1">
        <f t="array" ref="G5">IF(ROW(G5)-ROW(G$4)+1&gt;COUNT(I$1:I$40),"",INDEX(H:H,SMALL(I$1:I$40,1+ROW(G5)-ROW(G$4))))</f>
        <v/>
      </c>
      <c r="H5">
        <v>5</v>
      </c>
      <c r="I5" s="1" t="str">
        <f t="shared" si="0"/>
        <v/>
      </c>
      <c r="J5" s="1" t="str" cm="1">
        <f t="array" ref="J5">IF(ROW(G8)-ROW(G$4)+1&gt;COUNT(I$1:I$40),"",INDEX(H:H,SMALL(I$1:I$40,1+ROW(G8)-ROW(G$4))))</f>
        <v/>
      </c>
      <c r="P5" t="str">
        <f ca="1">IF(Summary!R6="","",IF(F5=Summary!R6,"Right","Wrong"))</f>
        <v>Wrong</v>
      </c>
    </row>
    <row r="6" spans="1:19" ht="18" customHeight="1" x14ac:dyDescent="0.4">
      <c r="A6" s="4">
        <v>43820</v>
      </c>
      <c r="B6" s="5" t="s">
        <v>14</v>
      </c>
      <c r="C6" s="12" t="s">
        <v>15</v>
      </c>
      <c r="D6" s="13" t="s">
        <v>16</v>
      </c>
      <c r="E6" s="8" t="s">
        <v>15</v>
      </c>
      <c r="F6" s="9">
        <v>4</v>
      </c>
      <c r="G6" s="10" t="str" cm="1">
        <f t="array" ref="G6">IF(ROW(G6)-ROW(G$4)+1&gt;COUNT(I$1:I$40),"",INDEX(H:H,SMALL(I$1:I$40,1+ROW(G6)-ROW(G$4))))</f>
        <v/>
      </c>
      <c r="H6">
        <v>6</v>
      </c>
      <c r="I6" s="1" t="str">
        <f t="shared" si="0"/>
        <v/>
      </c>
      <c r="J6" s="1" t="str" cm="1">
        <f t="array" ref="J6">IF(ROW(G9)-ROW(G$4)+1&gt;COUNT(I$1:I$40),"",INDEX(H:H,SMALL(I$1:I$40,1+ROW(G9)-ROW(G$4))))</f>
        <v/>
      </c>
      <c r="N6" t="e" cm="1">
        <f t="array" aca="1" ref="N6" ca="1">OFFSET([7]Games!$J$1,0,0,COUNTA([7]Games!$J$1:$J$41)-COUNTBLANK([7]Games!$J$1:$J$41),1)</f>
        <v>#VALUE!</v>
      </c>
      <c r="P6" t="str">
        <f ca="1">IF(Summary!R7="","",IF(F6=Summary!R7,"Right","Wrong"))</f>
        <v>Wrong</v>
      </c>
    </row>
    <row r="7" spans="1:19" ht="18" customHeight="1" x14ac:dyDescent="0.4">
      <c r="A7" s="4">
        <v>43820</v>
      </c>
      <c r="B7" s="5" t="s">
        <v>17</v>
      </c>
      <c r="C7" s="12" t="s">
        <v>18</v>
      </c>
      <c r="D7" s="13" t="s">
        <v>19</v>
      </c>
      <c r="E7" s="8" t="s">
        <v>18</v>
      </c>
      <c r="F7" s="9">
        <v>5</v>
      </c>
      <c r="G7" s="10" t="str" cm="1">
        <f t="array" ref="G7">IF(ROW(G7)-ROW(G$4)+1&gt;COUNT(I$1:I$40),"",INDEX(H:H,SMALL(I$1:I$40,1+ROW(G7)-ROW(G$4))))</f>
        <v/>
      </c>
      <c r="H7">
        <v>7</v>
      </c>
      <c r="I7" s="1" t="str">
        <f t="shared" si="0"/>
        <v/>
      </c>
      <c r="J7" s="1" t="str" cm="1">
        <f t="array" ref="J7">IF(ROW(G10)-ROW(G$4)+1&gt;COUNT(I$1:I$40),"",INDEX(H:H,SMALL(I$1:I$40,1+ROW(G10)-ROW(G$4))))</f>
        <v/>
      </c>
      <c r="P7" t="str">
        <f ca="1">IF(Summary!R8="","",IF(F7=Summary!R8,"Right","Wrong"))</f>
        <v>Right</v>
      </c>
      <c r="R7" s="103"/>
      <c r="S7" s="103"/>
    </row>
    <row r="8" spans="1:19" ht="18" customHeight="1" x14ac:dyDescent="0.4">
      <c r="A8" s="4">
        <v>43820</v>
      </c>
      <c r="B8" s="5" t="s">
        <v>20</v>
      </c>
      <c r="C8" s="12" t="s">
        <v>21</v>
      </c>
      <c r="D8" s="13" t="s">
        <v>22</v>
      </c>
      <c r="E8" s="8" t="s">
        <v>22</v>
      </c>
      <c r="F8" s="9">
        <v>6</v>
      </c>
      <c r="G8" s="10" t="str" cm="1">
        <f t="array" ref="G8">IF(ROW(G8)-ROW(G$4)+1&gt;COUNT(I$1:I$40),"",INDEX(H:H,SMALL(I$1:I$40,1+ROW(G8)-ROW(G$4))))</f>
        <v/>
      </c>
      <c r="H8">
        <v>8</v>
      </c>
      <c r="I8" s="1" t="str">
        <f t="shared" si="0"/>
        <v/>
      </c>
      <c r="J8" s="1" t="str" cm="1">
        <f t="array" ref="J8">IF(ROW(G11)-ROW(G$4)+1&gt;COUNT(I$1:I$40),"",INDEX(H:H,SMALL(I$1:I$40,1+ROW(G11)-ROW(G$4))))</f>
        <v/>
      </c>
      <c r="P8" t="str">
        <f ca="1">IF(Summary!R9="","",IF(F8=Summary!R9,"Right","Wrong"))</f>
        <v>Right</v>
      </c>
      <c r="R8" s="103"/>
      <c r="S8" s="103"/>
    </row>
    <row r="9" spans="1:19" ht="18" customHeight="1" x14ac:dyDescent="0.4">
      <c r="A9" s="4">
        <v>43820</v>
      </c>
      <c r="B9" s="5" t="s">
        <v>23</v>
      </c>
      <c r="C9" s="12" t="s">
        <v>24</v>
      </c>
      <c r="D9" s="13" t="s">
        <v>25</v>
      </c>
      <c r="E9" s="8" t="s">
        <v>24</v>
      </c>
      <c r="F9" s="9">
        <v>15</v>
      </c>
      <c r="G9" s="10" t="str" cm="1">
        <f t="array" ref="G9">IF(ROW(G9)-ROW(G$4)+1&gt;COUNT(I$1:I$40),"",INDEX(H:H,SMALL(I$1:I$40,1+ROW(G9)-ROW(G$4))))</f>
        <v/>
      </c>
      <c r="H9">
        <v>9</v>
      </c>
      <c r="I9" s="1" t="str">
        <f t="shared" si="0"/>
        <v/>
      </c>
      <c r="J9" s="1" t="str" cm="1">
        <f t="array" ref="J9">IF(ROW(G12)-ROW(G$4)+1&gt;COUNT(I$1:I$40),"",INDEX(H:H,SMALL(I$1:I$40,1+ROW(G12)-ROW(G$4))))</f>
        <v/>
      </c>
      <c r="P9" t="str">
        <f ca="1">IF(Summary!R10="","",IF(F9=Summary!R10,"Right","Wrong"))</f>
        <v>Wrong</v>
      </c>
    </row>
    <row r="10" spans="1:19" ht="18" customHeight="1" x14ac:dyDescent="0.4">
      <c r="A10" s="4">
        <v>43820</v>
      </c>
      <c r="B10" s="5" t="s">
        <v>26</v>
      </c>
      <c r="C10" s="12" t="s">
        <v>27</v>
      </c>
      <c r="D10" s="13" t="s">
        <v>28</v>
      </c>
      <c r="E10" s="8" t="s">
        <v>28</v>
      </c>
      <c r="F10" s="9">
        <v>7</v>
      </c>
      <c r="G10" s="10" t="str" cm="1">
        <f t="array" ref="G10">IF(ROW(G10)-ROW(G$4)+1&gt;COUNT(I$1:I$40),"",INDEX(H:H,SMALL(I$1:I$40,1+ROW(G10)-ROW(G$4))))</f>
        <v/>
      </c>
      <c r="H10">
        <v>10</v>
      </c>
      <c r="I10" s="1" t="str">
        <f t="shared" si="0"/>
        <v/>
      </c>
      <c r="J10" s="1" t="str" cm="1">
        <f t="array" ref="J10">IF(ROW(G13)-ROW(G$4)+1&gt;COUNT(I$1:I$40),"",INDEX(H:H,SMALL(I$1:I$40,1+ROW(G13)-ROW(G$4))))</f>
        <v/>
      </c>
      <c r="P10" t="str">
        <f ca="1">IF(Summary!R11="","",IF(F10=Summary!R11,"Right","Wrong"))</f>
        <v>Right</v>
      </c>
    </row>
    <row r="11" spans="1:19" ht="18" customHeight="1" x14ac:dyDescent="0.4">
      <c r="A11" s="4">
        <v>43820</v>
      </c>
      <c r="B11" s="5" t="s">
        <v>29</v>
      </c>
      <c r="C11" s="12" t="s">
        <v>30</v>
      </c>
      <c r="D11" s="13" t="s">
        <v>31</v>
      </c>
      <c r="E11" s="8" t="s">
        <v>30</v>
      </c>
      <c r="F11" s="9">
        <v>20</v>
      </c>
      <c r="G11" s="10" t="str" cm="1">
        <f t="array" ref="G11">IF(ROW(G11)-ROW(G$4)+1&gt;COUNT(I$1:I$40),"",INDEX(H:H,SMALL(I$1:I$40,1+ROW(G11)-ROW(G$4))))</f>
        <v/>
      </c>
      <c r="H11">
        <v>11</v>
      </c>
      <c r="I11" s="1" t="str">
        <f t="shared" si="0"/>
        <v/>
      </c>
      <c r="J11" s="1" t="str" cm="1">
        <f t="array" ref="J11">IF(ROW(G14)-ROW(G$4)+1&gt;COUNT(I$1:I$40),"",INDEX(H:H,SMALL(I$1:I$40,1+ROW(G14)-ROW(G$4))))</f>
        <v/>
      </c>
      <c r="P11" t="str">
        <f ca="1">IF(Summary!R12="","",IF(F11=Summary!R12,"Right","Wrong"))</f>
        <v>Right</v>
      </c>
    </row>
    <row r="12" spans="1:19" ht="18" customHeight="1" x14ac:dyDescent="0.4">
      <c r="A12" s="4">
        <v>43820</v>
      </c>
      <c r="B12" s="5" t="s">
        <v>32</v>
      </c>
      <c r="C12" s="12" t="s">
        <v>33</v>
      </c>
      <c r="D12" s="13" t="s">
        <v>34</v>
      </c>
      <c r="E12" s="8" t="s">
        <v>33</v>
      </c>
      <c r="F12" s="9">
        <v>39</v>
      </c>
      <c r="G12" s="10" t="str" cm="1">
        <f t="array" ref="G12">IF(ROW(G12)-ROW(G$4)+1&gt;COUNT(I$1:I$40),"",INDEX(H:H,SMALL(I$1:I$40,1+ROW(G12)-ROW(G$4))))</f>
        <v/>
      </c>
      <c r="H12">
        <v>12</v>
      </c>
      <c r="I12" s="1" t="str">
        <f t="shared" si="0"/>
        <v/>
      </c>
      <c r="J12" s="1" t="str" cm="1">
        <f t="array" ref="J12">IF(ROW(G15)-ROW(G$4)+1&gt;COUNT(I$1:I$40),"",INDEX(H:H,SMALL(I$1:I$40,1+ROW(G15)-ROW(G$4))))</f>
        <v/>
      </c>
      <c r="P12" t="str">
        <f ca="1">IF(Summary!R13="","",IF(F12=Summary!R13,"Right","Wrong"))</f>
        <v>Right</v>
      </c>
    </row>
    <row r="13" spans="1:19" ht="18" customHeight="1" x14ac:dyDescent="0.4">
      <c r="A13" s="4">
        <v>43822</v>
      </c>
      <c r="B13" s="5" t="s">
        <v>35</v>
      </c>
      <c r="C13" s="12" t="s">
        <v>36</v>
      </c>
      <c r="D13" s="13" t="s">
        <v>37</v>
      </c>
      <c r="E13" s="8" t="s">
        <v>36</v>
      </c>
      <c r="F13" s="9">
        <v>30</v>
      </c>
      <c r="G13" s="10" t="str" cm="1">
        <f t="array" ref="G13">IF(ROW(G13)-ROW(G$4)+1&gt;COUNT(I$1:I$40),"",INDEX(H:H,SMALL(I$1:I$40,1+ROW(G13)-ROW(G$4))))</f>
        <v/>
      </c>
      <c r="H13">
        <v>13</v>
      </c>
      <c r="I13" s="1" t="str">
        <f t="shared" si="0"/>
        <v/>
      </c>
      <c r="J13" s="1" t="str" cm="1">
        <f t="array" ref="J13">IF(ROW(G16)-ROW(G$4)+1&gt;COUNT(I$1:I$40),"",INDEX(H:H,SMALL(I$1:I$40,1+ROW(G16)-ROW(G$4))))</f>
        <v/>
      </c>
      <c r="P13" t="str">
        <f ca="1">IF(Summary!R14="","",IF(F13=Summary!R14,"Right","Wrong"))</f>
        <v>Right</v>
      </c>
    </row>
    <row r="14" spans="1:19" ht="18" customHeight="1" x14ac:dyDescent="0.4">
      <c r="A14" s="4">
        <v>43823</v>
      </c>
      <c r="B14" s="5" t="s">
        <v>38</v>
      </c>
      <c r="C14" s="12" t="s">
        <v>39</v>
      </c>
      <c r="D14" s="13" t="s">
        <v>40</v>
      </c>
      <c r="E14" s="8" t="s">
        <v>40</v>
      </c>
      <c r="F14" s="9">
        <v>19</v>
      </c>
      <c r="G14" s="10" t="str" cm="1">
        <f t="array" ref="G14">IF(ROW(G14)-ROW(G$4)+1&gt;COUNT(I$1:I$40),"",INDEX(H:H,SMALL(I$1:I$40,1+ROW(G14)-ROW(G$4))))</f>
        <v/>
      </c>
      <c r="H14">
        <v>14</v>
      </c>
      <c r="I14" s="1" t="str">
        <f t="shared" si="0"/>
        <v/>
      </c>
      <c r="J14" s="1" t="str" cm="1">
        <f t="array" ref="J14">IF(ROW(G17)-ROW(G$4)+1&gt;COUNT(I$1:I$40),"",INDEX(H:H,SMALL(I$1:I$40,1+ROW(G17)-ROW(G$4))))</f>
        <v/>
      </c>
      <c r="P14" t="str">
        <f ca="1">IF(Summary!R15="","",IF(F14=Summary!R15,"Right","Wrong"))</f>
        <v>Wrong</v>
      </c>
    </row>
    <row r="15" spans="1:19" ht="18" customHeight="1" x14ac:dyDescent="0.4">
      <c r="A15" s="4">
        <v>43825</v>
      </c>
      <c r="B15" s="5" t="s">
        <v>41</v>
      </c>
      <c r="C15" s="12" t="s">
        <v>42</v>
      </c>
      <c r="D15" s="13" t="s">
        <v>43</v>
      </c>
      <c r="E15" s="8" t="s">
        <v>42</v>
      </c>
      <c r="F15" s="9">
        <v>8</v>
      </c>
      <c r="G15" s="10" t="str" cm="1">
        <f t="array" ref="G15">IF(ROW(G15)-ROW(G$4)+1&gt;COUNT(I$1:I$40),"",INDEX(H:H,SMALL(I$1:I$40,1+ROW(G15)-ROW(G$4))))</f>
        <v/>
      </c>
      <c r="H15">
        <v>15</v>
      </c>
      <c r="I15" s="1" t="str">
        <f t="shared" si="0"/>
        <v/>
      </c>
      <c r="J15" s="1" t="str" cm="1">
        <f t="array" ref="J15">IF(ROW(G18)-ROW(G$4)+1&gt;COUNT(I$1:I$40),"",INDEX(H:H,SMALL(I$1:I$40,1+ROW(G18)-ROW(G$4))))</f>
        <v/>
      </c>
      <c r="P15" t="str">
        <f ca="1">IF(Summary!R16="","",IF(F15=Summary!R16,"Right","Wrong"))</f>
        <v>Wrong</v>
      </c>
    </row>
    <row r="16" spans="1:19" ht="18" customHeight="1" x14ac:dyDescent="0.4">
      <c r="A16" s="4">
        <v>43825</v>
      </c>
      <c r="B16" s="5" t="s">
        <v>44</v>
      </c>
      <c r="C16" s="12" t="s">
        <v>45</v>
      </c>
      <c r="D16" s="13" t="s">
        <v>46</v>
      </c>
      <c r="E16" s="8" t="s">
        <v>45</v>
      </c>
      <c r="F16" s="9">
        <v>34</v>
      </c>
      <c r="G16" s="10" t="str" cm="1">
        <f t="array" ref="G16">IF(ROW(G16)-ROW(G$4)+1&gt;COUNT(I$1:I$40),"",INDEX(H:H,SMALL(I$1:I$40,1+ROW(G16)-ROW(G$4))))</f>
        <v/>
      </c>
      <c r="H16">
        <v>16</v>
      </c>
      <c r="I16" s="1" t="str">
        <f t="shared" si="0"/>
        <v/>
      </c>
      <c r="J16" s="1" t="str" cm="1">
        <f t="array" ref="J16">IF(ROW(G19)-ROW(G$4)+1&gt;COUNT(I$1:I$40),"",INDEX(H:H,SMALL(I$1:I$40,1+ROW(G19)-ROW(G$4))))</f>
        <v/>
      </c>
      <c r="P16" t="str">
        <f ca="1">IF(Summary!R17="","",IF(F16=Summary!R17,"Right","Wrong"))</f>
        <v>Right</v>
      </c>
    </row>
    <row r="17" spans="1:16" ht="18" customHeight="1" x14ac:dyDescent="0.4">
      <c r="A17" s="4">
        <v>43826</v>
      </c>
      <c r="B17" s="5" t="s">
        <v>47</v>
      </c>
      <c r="C17" s="12" t="s">
        <v>48</v>
      </c>
      <c r="D17" s="13" t="s">
        <v>49</v>
      </c>
      <c r="E17" s="8" t="s">
        <v>48</v>
      </c>
      <c r="F17" s="9">
        <v>9</v>
      </c>
      <c r="G17" s="10" t="str" cm="1">
        <f t="array" ref="G17">IF(ROW(G17)-ROW(G$4)+1&gt;COUNT(I$1:I$40),"",INDEX(H:H,SMALL(I$1:I$40,1+ROW(G17)-ROW(G$4))))</f>
        <v/>
      </c>
      <c r="H17">
        <v>17</v>
      </c>
      <c r="I17" s="1" t="str">
        <f t="shared" si="0"/>
        <v/>
      </c>
      <c r="J17" s="1" t="str" cm="1">
        <f t="array" ref="J17">IF(ROW(G20)-ROW(G$4)+1&gt;COUNT(I$1:I$40),"",INDEX(H:H,SMALL(I$1:I$40,1+ROW(G20)-ROW(G$4))))</f>
        <v/>
      </c>
      <c r="P17" t="str">
        <f ca="1">IF(Summary!R18="","",IF(F17=Summary!R18,"Right","Wrong"))</f>
        <v>Right</v>
      </c>
    </row>
    <row r="18" spans="1:16" ht="18" customHeight="1" x14ac:dyDescent="0.4">
      <c r="A18" s="4">
        <v>43826</v>
      </c>
      <c r="B18" s="5" t="s">
        <v>50</v>
      </c>
      <c r="C18" s="12" t="s">
        <v>51</v>
      </c>
      <c r="D18" s="13" t="s">
        <v>52</v>
      </c>
      <c r="E18" s="8" t="s">
        <v>52</v>
      </c>
      <c r="F18" s="9">
        <v>1</v>
      </c>
      <c r="G18" s="10" t="str" cm="1">
        <f t="array" ref="G18">IF(ROW(G18)-ROW(G$4)+1&gt;COUNT(I$1:I$40),"",INDEX(H:H,SMALL(I$1:I$40,1+ROW(G18)-ROW(G$4))))</f>
        <v/>
      </c>
      <c r="H18">
        <v>18</v>
      </c>
      <c r="I18" s="1" t="str">
        <f t="shared" si="0"/>
        <v/>
      </c>
      <c r="J18" s="1" t="str" cm="1">
        <f t="array" ref="J18">IF(ROW(G21)-ROW(G$4)+1&gt;COUNT(I$1:I$40),"",INDEX(H:H,SMALL(I$1:I$40,1+ROW(G21)-ROW(G$4))))</f>
        <v/>
      </c>
      <c r="P18" t="str">
        <f ca="1">IF(Summary!R19="","",IF(F18=Summary!R19,"Right","Wrong"))</f>
        <v>Right</v>
      </c>
    </row>
    <row r="19" spans="1:16" ht="18" customHeight="1" x14ac:dyDescent="0.4">
      <c r="A19" s="4">
        <v>43826</v>
      </c>
      <c r="B19" s="5" t="s">
        <v>53</v>
      </c>
      <c r="C19" s="12" t="s">
        <v>54</v>
      </c>
      <c r="D19" s="13" t="s">
        <v>55</v>
      </c>
      <c r="E19" s="8" t="s">
        <v>55</v>
      </c>
      <c r="F19" s="9">
        <v>25</v>
      </c>
      <c r="G19" s="10" t="str" cm="1">
        <f t="array" ref="G19">IF(ROW(G19)-ROW(G$4)+1&gt;COUNT(I$1:I$40),"",INDEX(H:H,SMALL(I$1:I$40,1+ROW(G19)-ROW(G$4))))</f>
        <v/>
      </c>
      <c r="H19">
        <v>19</v>
      </c>
      <c r="I19" s="1" t="str">
        <f t="shared" si="0"/>
        <v/>
      </c>
      <c r="J19" s="1" t="str" cm="1">
        <f t="array" ref="J19">IF(ROW(G22)-ROW(G$4)+1&gt;COUNT(I$1:I$40),"",INDEX(H:H,SMALL(I$1:I$40,1+ROW(G22)-ROW(G$4))))</f>
        <v/>
      </c>
      <c r="P19" t="str">
        <f ca="1">IF(Summary!R20="","",IF(F19=Summary!R20,"Right","Wrong"))</f>
        <v>Right</v>
      </c>
    </row>
    <row r="20" spans="1:16" ht="18" customHeight="1" x14ac:dyDescent="0.4">
      <c r="A20" s="4">
        <v>43826</v>
      </c>
      <c r="B20" s="5" t="s">
        <v>56</v>
      </c>
      <c r="C20" s="12" t="s">
        <v>57</v>
      </c>
      <c r="D20" s="13" t="s">
        <v>58</v>
      </c>
      <c r="E20" s="8" t="s">
        <v>58</v>
      </c>
      <c r="F20" s="9">
        <v>10</v>
      </c>
      <c r="G20" s="10" t="str" cm="1">
        <f t="array" ref="G20">IF(ROW(G20)-ROW(G$4)+1&gt;COUNT(I$1:I$40),"",INDEX(H:H,SMALL(I$1:I$40,1+ROW(G20)-ROW(G$4))))</f>
        <v/>
      </c>
      <c r="H20">
        <v>20</v>
      </c>
      <c r="I20" s="1" t="str">
        <f t="shared" si="0"/>
        <v/>
      </c>
      <c r="J20" s="1" t="str" cm="1">
        <f t="array" ref="J20">IF(ROW(G23)-ROW(G$4)+1&gt;COUNT(I$1:I$40),"",INDEX(H:H,SMALL(I$1:I$40,1+ROW(G23)-ROW(G$4))))</f>
        <v/>
      </c>
      <c r="P20" t="str">
        <f ca="1">IF(Summary!R21="","",IF(F20=Summary!R21,"Right","Wrong"))</f>
        <v>Right</v>
      </c>
    </row>
    <row r="21" spans="1:16" ht="18" customHeight="1" x14ac:dyDescent="0.4">
      <c r="A21" s="4">
        <v>43826</v>
      </c>
      <c r="B21" s="5" t="s">
        <v>59</v>
      </c>
      <c r="C21" s="12" t="s">
        <v>60</v>
      </c>
      <c r="D21" s="13" t="s">
        <v>61</v>
      </c>
      <c r="E21" s="8" t="s">
        <v>61</v>
      </c>
      <c r="F21" s="9">
        <v>24</v>
      </c>
      <c r="G21" s="10" t="str" cm="1">
        <f t="array" ref="G21">IF(ROW(G21)-ROW(G$4)+1&gt;COUNT(I$1:I$40),"",INDEX(H:H,SMALL(I$1:I$40,1+ROW(G21)-ROW(G$4))))</f>
        <v/>
      </c>
      <c r="H21">
        <v>21</v>
      </c>
      <c r="I21" s="1" t="str">
        <f t="shared" si="0"/>
        <v/>
      </c>
      <c r="J21" s="1" t="str" cm="1">
        <f t="array" ref="J21">IF(ROW(G24)-ROW(G$4)+1&gt;COUNT(I$1:I$40),"",INDEX(H:H,SMALL(I$1:I$40,1+ROW(G24)-ROW(G$4))))</f>
        <v/>
      </c>
      <c r="P21" t="str">
        <f ca="1">IF(Summary!R22="","",IF(F21=Summary!R22,"Right","Wrong"))</f>
        <v>Wrong</v>
      </c>
    </row>
    <row r="22" spans="1:16" ht="18" customHeight="1" x14ac:dyDescent="0.4">
      <c r="A22" s="4">
        <v>43827</v>
      </c>
      <c r="B22" s="5" t="s">
        <v>62</v>
      </c>
      <c r="C22" s="12" t="s">
        <v>63</v>
      </c>
      <c r="D22" s="13" t="s">
        <v>64</v>
      </c>
      <c r="E22" s="8" t="s">
        <v>63</v>
      </c>
      <c r="F22" s="9">
        <v>36</v>
      </c>
      <c r="G22" s="10" t="str" cm="1">
        <f t="array" ref="G22">IF(ROW(G22)-ROW(G$4)+1&gt;COUNT(I$1:I$40),"",INDEX(H:H,SMALL(I$1:I$40,1+ROW(G22)-ROW(G$4))))</f>
        <v/>
      </c>
      <c r="H22">
        <v>22</v>
      </c>
      <c r="I22" s="1" t="str">
        <f t="shared" si="0"/>
        <v/>
      </c>
      <c r="J22" s="1" t="str" cm="1">
        <f t="array" ref="J22">IF(ROW(G25)-ROW(G$4)+1&gt;COUNT(I$1:I$40),"",INDEX(H:H,SMALL(I$1:I$40,1+ROW(G25)-ROW(G$4))))</f>
        <v/>
      </c>
      <c r="P22" t="str">
        <f ca="1">IF(Summary!R23="","",IF(F22=Summary!R23,"Right","Wrong"))</f>
        <v>Right</v>
      </c>
    </row>
    <row r="23" spans="1:16" ht="18" customHeight="1" x14ac:dyDescent="0.4">
      <c r="A23" s="4">
        <v>43827</v>
      </c>
      <c r="B23" s="5" t="s">
        <v>65</v>
      </c>
      <c r="C23" s="12" t="s">
        <v>66</v>
      </c>
      <c r="D23" s="13" t="s">
        <v>67</v>
      </c>
      <c r="E23" s="8" t="s">
        <v>66</v>
      </c>
      <c r="F23" s="9">
        <v>37</v>
      </c>
      <c r="G23" s="10" t="str" cm="1">
        <f t="array" ref="G23">IF(ROW(G23)-ROW(G$4)+1&gt;COUNT(I$1:I$40),"",INDEX(H:H,SMALL(I$1:I$40,1+ROW(G23)-ROW(G$4))))</f>
        <v/>
      </c>
      <c r="H23">
        <v>23</v>
      </c>
      <c r="I23" s="1" t="str">
        <f t="shared" si="0"/>
        <v/>
      </c>
      <c r="J23" s="1" t="str" cm="1">
        <f t="array" ref="J23">IF(ROW(G26)-ROW(G$4)+1&gt;COUNT(I$1:I$40),"",INDEX(H:H,SMALL(I$1:I$40,1+ROW(G26)-ROW(G$4))))</f>
        <v/>
      </c>
      <c r="P23" t="str">
        <f ca="1">IF(Summary!R24="","",IF(F23=Summary!R24,"Right","Wrong"))</f>
        <v>Right</v>
      </c>
    </row>
    <row r="24" spans="1:16" ht="18" customHeight="1" x14ac:dyDescent="0.4">
      <c r="A24" s="4">
        <v>43827</v>
      </c>
      <c r="B24" s="5" t="s">
        <v>68</v>
      </c>
      <c r="C24" s="12" t="s">
        <v>69</v>
      </c>
      <c r="D24" s="13" t="s">
        <v>70</v>
      </c>
      <c r="E24" s="8" t="s">
        <v>69</v>
      </c>
      <c r="F24" s="9">
        <v>38</v>
      </c>
      <c r="G24" s="10" t="str" cm="1">
        <f t="array" ref="G24">IF(ROW(G24)-ROW(G$4)+1&gt;COUNT(I$1:I$40),"",INDEX(H:H,SMALL(I$1:I$40,1+ROW(G24)-ROW(G$4))))</f>
        <v/>
      </c>
      <c r="H24">
        <v>24</v>
      </c>
      <c r="I24" s="1" t="str">
        <f t="shared" si="0"/>
        <v/>
      </c>
      <c r="J24" s="1" t="str" cm="1">
        <f t="array" ref="J24">IF(ROW(G27)-ROW(G$4)+1&gt;COUNT(I$1:I$40),"",INDEX(H:H,SMALL(I$1:I$40,1+ROW(G27)-ROW(G$4))))</f>
        <v/>
      </c>
      <c r="P24" t="str">
        <f ca="1">IF(Summary!R25="","",IF(F24=Summary!R25,"Right","Wrong"))</f>
        <v>Right</v>
      </c>
    </row>
    <row r="25" spans="1:16" ht="18" customHeight="1" x14ac:dyDescent="0.4">
      <c r="A25" s="4">
        <v>43827</v>
      </c>
      <c r="B25" s="5" t="s">
        <v>71</v>
      </c>
      <c r="C25" s="12" t="s">
        <v>72</v>
      </c>
      <c r="D25" s="13" t="s">
        <v>73</v>
      </c>
      <c r="E25" s="8" t="s">
        <v>72</v>
      </c>
      <c r="F25" s="9">
        <v>11</v>
      </c>
      <c r="G25" s="10" t="str" cm="1">
        <f t="array" ref="G25">IF(ROW(G25)-ROW(G$4)+1&gt;COUNT(I$1:I$40),"",INDEX(H:H,SMALL(I$1:I$40,1+ROW(G25)-ROW(G$4))))</f>
        <v/>
      </c>
      <c r="H25">
        <v>25</v>
      </c>
      <c r="I25" s="1" t="str">
        <f t="shared" si="0"/>
        <v/>
      </c>
      <c r="J25" s="1" t="str" cm="1">
        <f t="array" ref="J25">IF(ROW(G28)-ROW(G$4)+1&gt;COUNT(I$1:I$40),"",INDEX(H:H,SMALL(I$1:I$40,1+ROW(G28)-ROW(G$4))))</f>
        <v/>
      </c>
      <c r="P25" t="str">
        <f ca="1">IF(Summary!R26="","",IF(F25=Summary!R26,"Right","Wrong"))</f>
        <v>Wrong</v>
      </c>
    </row>
    <row r="26" spans="1:16" ht="18" customHeight="1" x14ac:dyDescent="0.4">
      <c r="A26" s="4">
        <v>43829</v>
      </c>
      <c r="B26" s="5" t="s">
        <v>74</v>
      </c>
      <c r="C26" s="12" t="s">
        <v>75</v>
      </c>
      <c r="D26" s="13" t="s">
        <v>76</v>
      </c>
      <c r="E26" s="8" t="s">
        <v>75</v>
      </c>
      <c r="F26" s="9">
        <v>33</v>
      </c>
      <c r="G26" s="10" t="str" cm="1">
        <f t="array" ref="G26">IF(ROW(G26)-ROW(G$4)+1&gt;COUNT(I$1:I$40),"",INDEX(H:H,SMALL(I$1:I$40,1+ROW(G26)-ROW(G$4))))</f>
        <v/>
      </c>
      <c r="H26">
        <v>26</v>
      </c>
      <c r="I26" s="1" t="str">
        <f t="shared" si="0"/>
        <v/>
      </c>
      <c r="J26" s="1" t="str" cm="1">
        <f t="array" ref="J26">IF(ROW(G29)-ROW(G$4)+1&gt;COUNT(I$1:I$40),"",INDEX(H:H,SMALL(I$1:I$40,1+ROW(G29)-ROW(G$4))))</f>
        <v/>
      </c>
      <c r="P26" t="str">
        <f ca="1">IF(Summary!R27="","",IF(F26=Summary!R27,"Right","Wrong"))</f>
        <v>Right</v>
      </c>
    </row>
    <row r="27" spans="1:16" ht="18" customHeight="1" x14ac:dyDescent="0.4">
      <c r="A27" s="4">
        <v>43829</v>
      </c>
      <c r="B27" s="5" t="s">
        <v>77</v>
      </c>
      <c r="C27" s="12" t="s">
        <v>78</v>
      </c>
      <c r="D27" s="13" t="s">
        <v>148</v>
      </c>
      <c r="E27" s="8" t="s">
        <v>148</v>
      </c>
      <c r="F27" s="9">
        <v>32</v>
      </c>
      <c r="G27" s="10" t="str" cm="1">
        <f t="array" ref="G27">IF(ROW(G27)-ROW(G$4)+1&gt;COUNT(I$1:I$40),"",INDEX(H:H,SMALL(I$1:I$40,1+ROW(G27)-ROW(G$4))))</f>
        <v/>
      </c>
      <c r="H27">
        <v>27</v>
      </c>
      <c r="I27" s="1" t="str">
        <f t="shared" si="0"/>
        <v/>
      </c>
      <c r="J27" s="1" t="str" cm="1">
        <f t="array" ref="J27">IF(ROW(G30)-ROW(G$4)+1&gt;COUNT(I$1:I$40),"",INDEX(H:H,SMALL(I$1:I$40,1+ROW(G30)-ROW(G$4))))</f>
        <v/>
      </c>
      <c r="P27" t="str">
        <f ca="1">IF(Summary!R28="","",IF(F27=Summary!R28,"Right","Wrong"))</f>
        <v>Right</v>
      </c>
    </row>
    <row r="28" spans="1:16" ht="18" customHeight="1" x14ac:dyDescent="0.4">
      <c r="A28" s="4">
        <v>43829</v>
      </c>
      <c r="B28" s="5" t="s">
        <v>80</v>
      </c>
      <c r="C28" s="12" t="s">
        <v>81</v>
      </c>
      <c r="D28" s="13" t="s">
        <v>82</v>
      </c>
      <c r="E28" s="8" t="s">
        <v>82</v>
      </c>
      <c r="F28" s="9">
        <v>12</v>
      </c>
      <c r="G28" s="10" t="str" cm="1">
        <f t="array" ref="G28">IF(ROW(G28)-ROW(G$4)+1&gt;COUNT(I$1:I$40),"",INDEX(H:H,SMALL(I$1:I$40,1+ROW(G28)-ROW(G$4))))</f>
        <v/>
      </c>
      <c r="H28">
        <v>28</v>
      </c>
      <c r="I28" s="1" t="str">
        <f t="shared" si="0"/>
        <v/>
      </c>
      <c r="J28" s="1" t="str" cm="1">
        <f t="array" ref="J28">IF(ROW(G31)-ROW(G$4)+1&gt;COUNT(I$1:I$40),"",INDEX(H:H,SMALL(I$1:I$40,1+ROW(G31)-ROW(G$4))))</f>
        <v/>
      </c>
      <c r="P28" t="str">
        <f ca="1">IF(Summary!R29="","",IF(F28=Summary!R29,"Right","Wrong"))</f>
        <v>Right</v>
      </c>
    </row>
    <row r="29" spans="1:16" ht="18" customHeight="1" x14ac:dyDescent="0.4">
      <c r="A29" s="4">
        <v>43829</v>
      </c>
      <c r="B29" s="5" t="s">
        <v>83</v>
      </c>
      <c r="C29" s="12" t="s">
        <v>84</v>
      </c>
      <c r="D29" s="13" t="s">
        <v>85</v>
      </c>
      <c r="E29" s="8" t="s">
        <v>84</v>
      </c>
      <c r="F29" s="9">
        <v>40</v>
      </c>
      <c r="G29" s="10" t="str" cm="1">
        <f t="array" ref="G29">IF(ROW(G29)-ROW(G$4)+1&gt;COUNT(I$1:I$40),"",INDEX(H:H,SMALL(I$1:I$40,1+ROW(G29)-ROW(G$4))))</f>
        <v/>
      </c>
      <c r="H29">
        <v>29</v>
      </c>
      <c r="I29" s="1" t="str">
        <f t="shared" si="0"/>
        <v/>
      </c>
      <c r="J29" s="1" t="str" cm="1">
        <f t="array" ref="J29">IF(ROW(G32)-ROW(G$4)+1&gt;COUNT(I$1:I$40),"",INDEX(H:H,SMALL(I$1:I$40,1+ROW(G32)-ROW(G$4))))</f>
        <v/>
      </c>
      <c r="P29" t="str">
        <f ca="1">IF(Summary!R30="","",IF(F29=Summary!R30,"Right","Wrong"))</f>
        <v>Right</v>
      </c>
    </row>
    <row r="30" spans="1:16" ht="18" customHeight="1" x14ac:dyDescent="0.4">
      <c r="A30" s="4">
        <v>43830</v>
      </c>
      <c r="B30" s="5" t="s">
        <v>86</v>
      </c>
      <c r="C30" s="12" t="s">
        <v>87</v>
      </c>
      <c r="D30" s="13" t="s">
        <v>88</v>
      </c>
      <c r="E30" s="8" t="s">
        <v>88</v>
      </c>
      <c r="F30" s="9">
        <v>18</v>
      </c>
      <c r="G30" s="10" t="str" cm="1">
        <f t="array" ref="G30">IF(ROW(G30)-ROW(G$4)+1&gt;COUNT(I$1:I$40),"",INDEX(H:H,SMALL(I$1:I$40,1+ROW(G30)-ROW(G$4))))</f>
        <v/>
      </c>
      <c r="H30">
        <v>30</v>
      </c>
      <c r="I30" s="1" t="str">
        <f t="shared" si="0"/>
        <v/>
      </c>
      <c r="J30" s="1" t="str" cm="1">
        <f t="array" ref="J30">IF(ROW(G33)-ROW(G$4)+1&gt;COUNT(I$1:I$40),"",INDEX(H:H,SMALL(I$1:I$40,1+ROW(G33)-ROW(G$4))))</f>
        <v/>
      </c>
      <c r="P30" t="str">
        <f ca="1">IF(Summary!R31="","",IF(F30=Summary!R31,"Right","Wrong"))</f>
        <v>Wrong</v>
      </c>
    </row>
    <row r="31" spans="1:16" ht="18" customHeight="1" x14ac:dyDescent="0.4">
      <c r="A31" s="4">
        <v>43830</v>
      </c>
      <c r="B31" s="5" t="s">
        <v>89</v>
      </c>
      <c r="C31" s="12" t="s">
        <v>90</v>
      </c>
      <c r="D31" s="13" t="s">
        <v>91</v>
      </c>
      <c r="E31" s="8" t="s">
        <v>91</v>
      </c>
      <c r="F31" s="9">
        <v>28</v>
      </c>
      <c r="G31" s="10" t="str" cm="1">
        <f t="array" ref="G31">IF(ROW(G31)-ROW(G$4)+1&gt;COUNT(I$1:I$40),"",INDEX(H:H,SMALL(I$1:I$40,1+ROW(G31)-ROW(G$4))))</f>
        <v/>
      </c>
      <c r="H31">
        <v>31</v>
      </c>
      <c r="I31" s="1" t="str">
        <f t="shared" si="0"/>
        <v/>
      </c>
      <c r="J31" s="1" t="str" cm="1">
        <f t="array" ref="J31">IF(ROW(G34)-ROW(G$4)+1&gt;COUNT(I$1:I$40),"",INDEX(H:H,SMALL(I$1:I$40,1+ROW(G34)-ROW(G$4))))</f>
        <v/>
      </c>
      <c r="P31" t="str">
        <f ca="1">IF(Summary!R32="","",IF(F31=Summary!R32,"Right","Wrong"))</f>
        <v>Right</v>
      </c>
    </row>
    <row r="32" spans="1:16" ht="18" customHeight="1" x14ac:dyDescent="0.4">
      <c r="A32" s="4">
        <v>43830</v>
      </c>
      <c r="B32" s="5" t="s">
        <v>92</v>
      </c>
      <c r="C32" s="12" t="s">
        <v>93</v>
      </c>
      <c r="D32" s="13" t="s">
        <v>94</v>
      </c>
      <c r="E32" s="8" t="s">
        <v>93</v>
      </c>
      <c r="F32" s="9">
        <v>27</v>
      </c>
      <c r="G32" s="10" t="str" cm="1">
        <f t="array" ref="G32">IF(ROW(G32)-ROW(G$4)+1&gt;COUNT(I$1:I$40),"",INDEX(H:H,SMALL(I$1:I$40,1+ROW(G32)-ROW(G$4))))</f>
        <v/>
      </c>
      <c r="H32">
        <v>32</v>
      </c>
      <c r="I32" s="1" t="str">
        <f t="shared" si="0"/>
        <v/>
      </c>
      <c r="J32" s="1" t="str" cm="1">
        <f t="array" ref="J32">IF(ROW(G35)-ROW(G$4)+1&gt;COUNT(I$1:I$40),"",INDEX(H:H,SMALL(I$1:I$40,1+ROW(G35)-ROW(G$4))))</f>
        <v/>
      </c>
      <c r="P32" t="str">
        <f ca="1">IF(Summary!R33="","",IF(F32=Summary!R33,"Right","Wrong"))</f>
        <v>Right</v>
      </c>
    </row>
    <row r="33" spans="1:16" ht="18" customHeight="1" x14ac:dyDescent="0.4">
      <c r="A33" s="4">
        <v>43830</v>
      </c>
      <c r="B33" s="5" t="s">
        <v>95</v>
      </c>
      <c r="C33" s="12" t="s">
        <v>96</v>
      </c>
      <c r="D33" s="13" t="s">
        <v>97</v>
      </c>
      <c r="E33" s="8" t="s">
        <v>97</v>
      </c>
      <c r="F33" s="9">
        <v>26</v>
      </c>
      <c r="G33" s="10" t="str" cm="1">
        <f t="array" ref="G33">IF(ROW(G33)-ROW(G$4)+1&gt;COUNT(I$1:I$40),"",INDEX(H:H,SMALL(I$1:I$40,1+ROW(G33)-ROW(G$4))))</f>
        <v/>
      </c>
      <c r="H33">
        <v>33</v>
      </c>
      <c r="I33" s="1" t="str">
        <f t="shared" si="0"/>
        <v/>
      </c>
      <c r="J33" s="1" t="str" cm="1">
        <f t="array" ref="J33">IF(ROW(G36)-ROW(G$4)+1&gt;COUNT(I$1:I$40),"",INDEX(H:H,SMALL(I$1:I$40,1+ROW(G36)-ROW(G$4))))</f>
        <v/>
      </c>
      <c r="P33" t="str">
        <f ca="1">IF(Summary!R34="","",IF(F33=Summary!R34,"Right","Wrong"))</f>
        <v>Right</v>
      </c>
    </row>
    <row r="34" spans="1:16" ht="18" customHeight="1" x14ac:dyDescent="0.4">
      <c r="A34" s="4">
        <v>43830</v>
      </c>
      <c r="B34" s="5" t="s">
        <v>98</v>
      </c>
      <c r="C34" s="12" t="s">
        <v>99</v>
      </c>
      <c r="D34" s="13" t="s">
        <v>100</v>
      </c>
      <c r="E34" s="8" t="s">
        <v>99</v>
      </c>
      <c r="F34" s="9">
        <v>35</v>
      </c>
      <c r="G34" s="10" t="str" cm="1">
        <f t="array" ref="G34">IF(ROW(G34)-ROW(G$4)+1&gt;COUNT(I$1:I$40),"",INDEX(H:H,SMALL(I$1:I$40,1+ROW(G34)-ROW(G$4))))</f>
        <v/>
      </c>
      <c r="H34">
        <v>34</v>
      </c>
      <c r="I34" s="1" t="str">
        <f t="shared" si="0"/>
        <v/>
      </c>
      <c r="J34" s="1" t="str" cm="1">
        <f t="array" ref="J34">IF(ROW(G37)-ROW(G$4)+1&gt;COUNT(I$1:I$40),"",INDEX(H:H,SMALL(I$1:I$40,1+ROW(G37)-ROW(G$4))))</f>
        <v/>
      </c>
      <c r="P34" t="str">
        <f ca="1">IF(Summary!R35="","",IF(F34=Summary!R35,"Right","Wrong"))</f>
        <v>Wrong</v>
      </c>
    </row>
    <row r="35" spans="1:16" ht="18" customHeight="1" x14ac:dyDescent="0.4">
      <c r="A35" s="4">
        <v>43466</v>
      </c>
      <c r="B35" s="5" t="s">
        <v>101</v>
      </c>
      <c r="C35" s="12" t="s">
        <v>102</v>
      </c>
      <c r="D35" s="13" t="s">
        <v>103</v>
      </c>
      <c r="E35" s="8" t="s">
        <v>102</v>
      </c>
      <c r="F35" s="9">
        <v>31</v>
      </c>
      <c r="G35" s="10" t="str" cm="1">
        <f t="array" ref="G35">IF(ROW(G35)-ROW(G$4)+1&gt;COUNT(I$1:I$40),"",INDEX(H:H,SMALL(I$1:I$40,1+ROW(G35)-ROW(G$4))))</f>
        <v/>
      </c>
      <c r="H35">
        <v>35</v>
      </c>
      <c r="I35" s="1" t="str">
        <f t="shared" si="0"/>
        <v/>
      </c>
      <c r="J35" s="1" t="str" cm="1">
        <f t="array" ref="J35">IF(ROW(G38)-ROW(G$4)+1&gt;COUNT(I$1:I$40),"",INDEX(H:H,SMALL(I$1:I$40,1+ROW(G38)-ROW(G$4))))</f>
        <v/>
      </c>
      <c r="P35" t="str">
        <f ca="1">IF(Summary!R36="","",IF(F35=Summary!R36,"Right","Wrong"))</f>
        <v>Right</v>
      </c>
    </row>
    <row r="36" spans="1:16" ht="18" customHeight="1" x14ac:dyDescent="0.4">
      <c r="A36" s="4">
        <v>43466</v>
      </c>
      <c r="B36" s="5" t="s">
        <v>104</v>
      </c>
      <c r="C36" s="12" t="s">
        <v>105</v>
      </c>
      <c r="D36" s="13" t="s">
        <v>106</v>
      </c>
      <c r="E36" s="8" t="s">
        <v>106</v>
      </c>
      <c r="F36" s="9">
        <v>16</v>
      </c>
      <c r="G36" s="10" t="str" cm="1">
        <f t="array" ref="G36">IF(ROW(G36)-ROW(G$4)+1&gt;COUNT(I$1:I$40),"",INDEX(H:H,SMALL(I$1:I$40,1+ROW(G36)-ROW(G$4))))</f>
        <v/>
      </c>
      <c r="H36">
        <v>36</v>
      </c>
      <c r="I36" s="1" t="str">
        <f t="shared" si="0"/>
        <v/>
      </c>
      <c r="J36" s="1" t="str" cm="1">
        <f t="array" ref="J36">IF(ROW(G39)-ROW(G$4)+1&gt;COUNT(I$1:I$40),"",INDEX(H:H,SMALL(I$1:I$40,1+ROW(G39)-ROW(G$4))))</f>
        <v/>
      </c>
      <c r="P36" t="str">
        <f ca="1">IF(Summary!R37="","",IF(F36=Summary!R37,"Right","Wrong"))</f>
        <v>Right</v>
      </c>
    </row>
    <row r="37" spans="1:16" ht="18" customHeight="1" x14ac:dyDescent="0.4">
      <c r="A37" s="4">
        <v>43466</v>
      </c>
      <c r="B37" s="5" t="s">
        <v>107</v>
      </c>
      <c r="C37" s="12" t="s">
        <v>108</v>
      </c>
      <c r="D37" s="13" t="s">
        <v>109</v>
      </c>
      <c r="E37" s="8" t="s">
        <v>109</v>
      </c>
      <c r="F37" s="9">
        <v>21</v>
      </c>
      <c r="G37" s="10" t="str" cm="1">
        <f t="array" ref="G37">IF(ROW(G37)-ROW(G$4)+1&gt;COUNT(I$1:I$40),"",INDEX(H:H,SMALL(I$1:I$40,1+ROW(G37)-ROW(G$4))))</f>
        <v/>
      </c>
      <c r="H37">
        <v>37</v>
      </c>
      <c r="I37" s="1" t="str">
        <f t="shared" si="0"/>
        <v/>
      </c>
      <c r="J37" s="1" t="str" cm="1">
        <f t="array" ref="J37">IF(ROW(G40)-ROW(G$4)+1&gt;COUNT(I$1:I$40),"",INDEX(H:H,SMALL(I$1:I$40,1+ROW(G40)-ROW(G$4))))</f>
        <v/>
      </c>
      <c r="P37" t="str">
        <f ca="1">IF(Summary!R38="","",IF(F37=Summary!R38,"Right","Wrong"))</f>
        <v>Wrong</v>
      </c>
    </row>
    <row r="38" spans="1:16" ht="18" customHeight="1" x14ac:dyDescent="0.4">
      <c r="A38" s="4">
        <v>43466</v>
      </c>
      <c r="B38" s="5" t="s">
        <v>110</v>
      </c>
      <c r="C38" s="12" t="s">
        <v>111</v>
      </c>
      <c r="D38" s="13" t="s">
        <v>112</v>
      </c>
      <c r="E38" s="8" t="s">
        <v>112</v>
      </c>
      <c r="F38" s="9">
        <v>22</v>
      </c>
      <c r="G38" s="10" t="str" cm="1">
        <f t="array" ref="G38">IF(ROW(G38)-ROW(G$4)+1&gt;COUNT(I$1:I$40),"",INDEX(H:H,SMALL(I$1:I$40,1+ROW(G38)-ROW(G$4))))</f>
        <v/>
      </c>
      <c r="H38">
        <v>38</v>
      </c>
      <c r="I38" s="1" t="str">
        <f t="shared" si="0"/>
        <v/>
      </c>
      <c r="J38" s="1" t="str" cm="1">
        <f t="array" ref="J38">IF(ROW(G41)-ROW(G$4)+1&gt;COUNT(I$1:I$40),"",INDEX(H:H,SMALL(I$1:I$40,1+ROW(G41)-ROW(G$4))))</f>
        <v/>
      </c>
      <c r="P38" t="str">
        <f ca="1">IF(Summary!R39="","",IF(F38=Summary!R39,"Right","Wrong"))</f>
        <v>Wrong</v>
      </c>
    </row>
    <row r="39" spans="1:16" ht="18" customHeight="1" x14ac:dyDescent="0.4">
      <c r="A39" s="4">
        <v>43467</v>
      </c>
      <c r="B39" s="5" t="s">
        <v>113</v>
      </c>
      <c r="C39" s="12" t="s">
        <v>114</v>
      </c>
      <c r="D39" s="13" t="s">
        <v>115</v>
      </c>
      <c r="E39" s="8" t="s">
        <v>115</v>
      </c>
      <c r="F39" s="9">
        <v>29</v>
      </c>
      <c r="G39" s="10" t="str" cm="1">
        <f t="array" ref="G39">IF(ROW(G39)-ROW(G$4)+1&gt;COUNT(I$1:I$40),"",INDEX(H:H,SMALL(I$1:I$40,1+ROW(G39)-ROW(G$4))))</f>
        <v/>
      </c>
      <c r="H39">
        <v>39</v>
      </c>
      <c r="I39" s="1" t="str">
        <f t="shared" si="0"/>
        <v/>
      </c>
      <c r="J39" s="1" t="str" cm="1">
        <f t="array" ref="J39">IF(ROW(G42)-ROW(G$4)+1&gt;COUNT(I$1:I$40),"",INDEX(H:H,SMALL(I$1:I$40,1+ROW(G42)-ROW(G$4))))</f>
        <v/>
      </c>
      <c r="P39" t="str">
        <f ca="1">IF(Summary!R40="","",IF(F39=Summary!R40,"Right","Wrong"))</f>
        <v>Right</v>
      </c>
    </row>
    <row r="40" spans="1:16" ht="18" customHeight="1" x14ac:dyDescent="0.4">
      <c r="A40" s="4">
        <v>43467</v>
      </c>
      <c r="B40" s="5" t="s">
        <v>116</v>
      </c>
      <c r="C40" s="12" t="s">
        <v>117</v>
      </c>
      <c r="D40" s="13" t="s">
        <v>118</v>
      </c>
      <c r="E40" s="8" t="s">
        <v>117</v>
      </c>
      <c r="F40" s="9">
        <v>23</v>
      </c>
      <c r="G40" s="10" t="str" cm="1">
        <f t="array" ref="G40">IF(ROW(G40)-ROW(G$4)+1&gt;COUNT(I$1:I$40),"",INDEX(H:H,SMALL(I$1:I$40,1+ROW(G40)-ROW(G$4))))</f>
        <v/>
      </c>
      <c r="H40">
        <v>40</v>
      </c>
      <c r="I40" s="1" t="str">
        <f t="shared" si="0"/>
        <v/>
      </c>
      <c r="J40" s="1" t="str" cm="1">
        <f t="array" ref="J40">IF(ROW(G43)-ROW(G$4)+1&gt;COUNT(I$1:I$40),"",INDEX(H:H,SMALL(I$1:I$40,1+ROW(G43)-ROW(G$4))))</f>
        <v/>
      </c>
      <c r="P40" t="str">
        <f ca="1">IF(Summary!R41="","",IF(F40=Summary!R41,"Right","Wrong"))</f>
        <v>Right</v>
      </c>
    </row>
    <row r="41" spans="1:16" ht="18" customHeight="1" x14ac:dyDescent="0.4">
      <c r="A41" s="4">
        <v>43468</v>
      </c>
      <c r="B41" s="5" t="s">
        <v>119</v>
      </c>
      <c r="C41" s="12" t="s">
        <v>120</v>
      </c>
      <c r="D41" s="13" t="s">
        <v>121</v>
      </c>
      <c r="E41" s="8" t="s">
        <v>120</v>
      </c>
      <c r="F41" s="9">
        <v>17</v>
      </c>
      <c r="G41" s="10" t="str" cm="1">
        <f t="array" ref="G41">IF(ROW(G41)-ROW(G$4)+1&gt;COUNT(I$1:I$40),"",INDEX(H:H,SMALL(I$1:I$40,1+ROW(G41)-ROW(G$4))))</f>
        <v/>
      </c>
      <c r="I41" s="1"/>
      <c r="J41" s="1" t="str" cm="1">
        <f t="array" ref="J41">IF(ROW(G44)-ROW(G$4)+1&gt;COUNT(I$1:I$40),"",INDEX(H:H,SMALL(I$1:I$40,1+ROW(G44)-ROW(G$4))))</f>
        <v/>
      </c>
      <c r="P41" t="str">
        <f ca="1">IF(Summary!R42="","",IF(F41=Summary!R42,"Right","Wrong"))</f>
        <v>Right</v>
      </c>
    </row>
    <row r="42" spans="1:16" ht="18" customHeight="1" x14ac:dyDescent="0.4">
      <c r="A42" s="4">
        <v>43469</v>
      </c>
      <c r="B42" s="5" t="s">
        <v>122</v>
      </c>
      <c r="C42" s="12" t="s">
        <v>123</v>
      </c>
      <c r="D42" s="13" t="s">
        <v>124</v>
      </c>
      <c r="E42" s="8" t="s">
        <v>123</v>
      </c>
      <c r="F42" s="9">
        <v>14</v>
      </c>
      <c r="G42" s="10" t="str" cm="1">
        <f t="array" ref="G42">IF(ROW(G42)-ROW(G$4)+1&gt;COUNT(I$1:I$40),"",INDEX(H:H,SMALL(I$1:I$40,1+ROW(G42)-ROW(G$4))))</f>
        <v/>
      </c>
      <c r="H42" s="14"/>
      <c r="P42" t="str">
        <f ca="1">IF(Summary!R43="","",IF(F42=Summary!R43,"Right","Wrong"))</f>
        <v>Right</v>
      </c>
    </row>
    <row r="43" spans="1:16" ht="18" customHeight="1" thickBot="1" x14ac:dyDescent="0.45">
      <c r="A43" s="15">
        <v>43471</v>
      </c>
      <c r="B43" s="16" t="s">
        <v>125</v>
      </c>
      <c r="C43" s="17" t="s">
        <v>126</v>
      </c>
      <c r="D43" s="18" t="s">
        <v>127</v>
      </c>
      <c r="E43" s="19" t="s">
        <v>127</v>
      </c>
      <c r="F43" s="20">
        <v>13</v>
      </c>
      <c r="G43" s="21" t="str" cm="1">
        <f t="array" ref="G43">IF(ROW(G43)-ROW(G$4)+1&gt;COUNT(I$1:I$40),"",INDEX(H:H,SMALL(I$1:I$40,1+ROW(G43)-ROW(G$4))))</f>
        <v/>
      </c>
      <c r="H43" s="14"/>
      <c r="P43" t="str">
        <f ca="1">IF(Summary!R44="","",IF(F43=Summary!R44,"Right","Wrong"))</f>
        <v>Wrong</v>
      </c>
    </row>
    <row r="44" spans="1:16" ht="18" customHeight="1" x14ac:dyDescent="0.4">
      <c r="A44" s="22"/>
      <c r="B44" s="104" t="s">
        <v>128</v>
      </c>
      <c r="C44" s="104"/>
      <c r="D44" s="104"/>
      <c r="E44" s="23" t="s">
        <v>155</v>
      </c>
      <c r="F44" s="24">
        <v>63</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E4:F44 B1">
    <cfRule type="containsBlanks" dxfId="8" priority="4">
      <formula>LEN(TRIM(B1))=0</formula>
    </cfRule>
  </conditionalFormatting>
  <conditionalFormatting sqref="F4:F44">
    <cfRule type="duplicateValues" dxfId="7" priority="3"/>
  </conditionalFormatting>
  <conditionalFormatting sqref="P4:P43">
    <cfRule type="cellIs" dxfId="6" priority="1" operator="equal">
      <formula>"Wrong"</formula>
    </cfRule>
    <cfRule type="cellIs" dxfId="5" priority="2" operator="equal">
      <formula>"Right"</formula>
    </cfRule>
  </conditionalFormatting>
  <dataValidations count="3">
    <dataValidation type="list" allowBlank="1" showInputMessage="1" sqref="F4:F43" xr:uid="{6289E2CD-A983-46F2-916D-96D54241402D}">
      <formula1>Confidence_Count</formula1>
    </dataValidation>
    <dataValidation type="list" errorStyle="warning" allowBlank="1" showInputMessage="1" sqref="E4:E43" xr:uid="{650D21CC-EAA8-45FD-BC31-846819C29123}">
      <formula1>$C4:$D4</formula1>
    </dataValidation>
    <dataValidation type="list" allowBlank="1" showInputMessage="1" showErrorMessage="1" sqref="E44" xr:uid="{A28B712C-A6B5-4D66-A3E3-8676236F85F1}">
      <formula1>"LSU,Ohio State,Clemson,Oklahoma"</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84924-6E5E-465B-9E0D-D6A985F062D8}">
  <sheetPr codeName="Sheet21"/>
  <dimension ref="A1:S44"/>
  <sheetViews>
    <sheetView showGridLines="0" topLeftCell="A5" workbookViewId="0">
      <selection activeCell="P4" sqref="P4:P43"/>
    </sheetView>
  </sheetViews>
  <sheetFormatPr defaultRowHeight="14.5" x14ac:dyDescent="0.35"/>
  <cols>
    <col min="1" max="1" width="9.1796875" customWidth="1"/>
    <col min="2" max="6" width="19.1796875" customWidth="1"/>
    <col min="7" max="7" width="19.1796875" style="26" customWidth="1"/>
    <col min="8" max="15" width="8.7265625" hidden="1" customWidth="1"/>
  </cols>
  <sheetData>
    <row r="1" spans="1:19" x14ac:dyDescent="0.35">
      <c r="A1" s="105" t="s">
        <v>0</v>
      </c>
      <c r="B1" s="105" t="s">
        <v>157</v>
      </c>
      <c r="F1" s="107" t="s">
        <v>1</v>
      </c>
      <c r="G1" s="105" t="s">
        <v>145</v>
      </c>
      <c r="H1">
        <v>1</v>
      </c>
      <c r="I1" s="1" t="str">
        <f t="shared" ref="I1:I40" si="0">IF(COUNTIF($F$4:$F$43,H1)&gt;=1,"",ROW())</f>
        <v/>
      </c>
      <c r="J1" s="1" t="str" cm="1">
        <f t="array" ref="J1">IF(ROW(G4)-ROW(G$4)+1&gt;COUNT(I$1:I$40),"",INDEX(H:H,SMALL(I$1:I$40,1+ROW(G4)-ROW(G$4))))</f>
        <v/>
      </c>
    </row>
    <row r="2" spans="1:19" ht="15" thickBot="1" x14ac:dyDescent="0.4">
      <c r="A2" s="106"/>
      <c r="B2" s="106"/>
      <c r="F2" s="108"/>
      <c r="G2" s="106"/>
      <c r="H2">
        <v>2</v>
      </c>
      <c r="I2" s="1" t="str">
        <f t="shared" si="0"/>
        <v/>
      </c>
      <c r="J2" s="1" t="str" cm="1">
        <f t="array" ref="J2">IF(ROW(G5)-ROW(G$4)+1&gt;COUNT(I$1:I$40),"",INDEX(H:H,SMALL(I$1:I$40,1+ROW(G5)-ROW(G$4))))</f>
        <v/>
      </c>
    </row>
    <row r="3" spans="1:19" ht="18" customHeight="1" thickBot="1" x14ac:dyDescent="0.4">
      <c r="A3" s="3" t="s">
        <v>2</v>
      </c>
      <c r="B3" s="3" t="s">
        <v>3</v>
      </c>
      <c r="C3" s="109" t="s">
        <v>4</v>
      </c>
      <c r="D3" s="109"/>
      <c r="E3" s="3" t="s">
        <v>5</v>
      </c>
      <c r="F3" s="3" t="s">
        <v>6</v>
      </c>
      <c r="G3" s="3" t="s">
        <v>7</v>
      </c>
      <c r="H3">
        <v>3</v>
      </c>
      <c r="I3" s="1" t="str">
        <f t="shared" si="0"/>
        <v/>
      </c>
      <c r="J3" s="1" t="str" cm="1">
        <f t="array" ref="J3">IF(ROW(G6)-ROW(G$4)+1&gt;COUNT(I$1:I$40),"",INDEX(H:H,SMALL(I$1:I$40,1+ROW(G6)-ROW(G$4))))</f>
        <v/>
      </c>
      <c r="P3" t="str">
        <f ca="1">_xlfn.CONCAT(COUNTIF(P4:P43,"Right")&amp;"/"&amp;(COUNTIF(P4:P43,"Right")+COUNTIF(P4:P43,"Wrong")))</f>
        <v>22/40</v>
      </c>
    </row>
    <row r="4" spans="1:19" ht="18" customHeight="1" thickTop="1" x14ac:dyDescent="0.4">
      <c r="A4" s="4">
        <v>43819</v>
      </c>
      <c r="B4" s="5" t="s">
        <v>8</v>
      </c>
      <c r="C4" s="6" t="s">
        <v>9</v>
      </c>
      <c r="D4" s="7" t="s">
        <v>10</v>
      </c>
      <c r="E4" s="8" t="s">
        <v>9</v>
      </c>
      <c r="F4" s="9">
        <v>25</v>
      </c>
      <c r="G4" s="10" t="str" cm="1">
        <f t="array" ref="G4">IF(ROW(G4)-ROW(G$4)+1&gt;COUNT(I$1:I$40),"",INDEX(H:H,SMALL(I$1:I$40,1+ROW(G4)-ROW(G$4))))</f>
        <v/>
      </c>
      <c r="H4">
        <v>4</v>
      </c>
      <c r="I4" s="1" t="str">
        <f t="shared" si="0"/>
        <v/>
      </c>
      <c r="J4" s="1" t="str" cm="1">
        <f t="array" ref="J4">IF(ROW(G7)-ROW(G$4)+1&gt;COUNT(I$1:I$40),"",INDEX(H:H,SMALL(I$1:I$40,1+ROW(G7)-ROW(G$4))))</f>
        <v/>
      </c>
      <c r="N4" s="11"/>
      <c r="P4" t="str">
        <f ca="1">IF(Summary!S5="","",IF(F4=Summary!S5,"Right","Wrong"))</f>
        <v>Right</v>
      </c>
    </row>
    <row r="5" spans="1:19" ht="18" customHeight="1" x14ac:dyDescent="0.4">
      <c r="A5" s="4">
        <v>43819</v>
      </c>
      <c r="B5" s="5" t="s">
        <v>11</v>
      </c>
      <c r="C5" s="12" t="s">
        <v>12</v>
      </c>
      <c r="D5" s="13" t="s">
        <v>13</v>
      </c>
      <c r="E5" s="8" t="s">
        <v>12</v>
      </c>
      <c r="F5" s="9">
        <v>23</v>
      </c>
      <c r="G5" s="10" t="str" cm="1">
        <f t="array" ref="G5">IF(ROW(G5)-ROW(G$4)+1&gt;COUNT(I$1:I$40),"",INDEX(H:H,SMALL(I$1:I$40,1+ROW(G5)-ROW(G$4))))</f>
        <v/>
      </c>
      <c r="H5">
        <v>5</v>
      </c>
      <c r="I5" s="1" t="str">
        <f t="shared" si="0"/>
        <v/>
      </c>
      <c r="J5" s="1" t="str" cm="1">
        <f t="array" ref="J5">IF(ROW(G8)-ROW(G$4)+1&gt;COUNT(I$1:I$40),"",INDEX(H:H,SMALL(I$1:I$40,1+ROW(G8)-ROW(G$4))))</f>
        <v/>
      </c>
      <c r="P5" t="str">
        <f ca="1">IF(Summary!S6="","",IF(F5=Summary!S6,"Right","Wrong"))</f>
        <v>Wrong</v>
      </c>
    </row>
    <row r="6" spans="1:19" ht="18" customHeight="1" x14ac:dyDescent="0.4">
      <c r="A6" s="4">
        <v>43820</v>
      </c>
      <c r="B6" s="5" t="s">
        <v>14</v>
      </c>
      <c r="C6" s="12" t="s">
        <v>15</v>
      </c>
      <c r="D6" s="13" t="s">
        <v>16</v>
      </c>
      <c r="E6" s="8" t="s">
        <v>15</v>
      </c>
      <c r="F6" s="9">
        <v>20</v>
      </c>
      <c r="G6" s="10" t="str" cm="1">
        <f t="array" ref="G6">IF(ROW(G6)-ROW(G$4)+1&gt;COUNT(I$1:I$40),"",INDEX(H:H,SMALL(I$1:I$40,1+ROW(G6)-ROW(G$4))))</f>
        <v/>
      </c>
      <c r="H6">
        <v>6</v>
      </c>
      <c r="I6" s="1" t="str">
        <f t="shared" si="0"/>
        <v/>
      </c>
      <c r="J6" s="1" t="str" cm="1">
        <f t="array" ref="J6">IF(ROW(G9)-ROW(G$4)+1&gt;COUNT(I$1:I$40),"",INDEX(H:H,SMALL(I$1:I$40,1+ROW(G9)-ROW(G$4))))</f>
        <v/>
      </c>
      <c r="N6" t="e" cm="1">
        <f t="array" aca="1" ref="N6" ca="1">OFFSET([1]Games!$J$1,0,0,COUNTA([1]Games!$J$1:$J$41)-COUNTBLANK([1]Games!$J$1:$J$41),1)</f>
        <v>#VALUE!</v>
      </c>
      <c r="P6" t="str">
        <f ca="1">IF(Summary!S7="","",IF(F6=Summary!S7,"Right","Wrong"))</f>
        <v>Wrong</v>
      </c>
    </row>
    <row r="7" spans="1:19" ht="18" customHeight="1" x14ac:dyDescent="0.4">
      <c r="A7" s="4">
        <v>43820</v>
      </c>
      <c r="B7" s="5" t="s">
        <v>17</v>
      </c>
      <c r="C7" s="12" t="s">
        <v>18</v>
      </c>
      <c r="D7" s="13" t="s">
        <v>19</v>
      </c>
      <c r="E7" s="8" t="s">
        <v>18</v>
      </c>
      <c r="F7" s="9">
        <v>26</v>
      </c>
      <c r="G7" s="10" t="str" cm="1">
        <f t="array" ref="G7">IF(ROW(G7)-ROW(G$4)+1&gt;COUNT(I$1:I$40),"",INDEX(H:H,SMALL(I$1:I$40,1+ROW(G7)-ROW(G$4))))</f>
        <v/>
      </c>
      <c r="H7">
        <v>7</v>
      </c>
      <c r="I7" s="1" t="str">
        <f t="shared" si="0"/>
        <v/>
      </c>
      <c r="J7" s="1" t="str" cm="1">
        <f t="array" ref="J7">IF(ROW(G10)-ROW(G$4)+1&gt;COUNT(I$1:I$40),"",INDEX(H:H,SMALL(I$1:I$40,1+ROW(G10)-ROW(G$4))))</f>
        <v/>
      </c>
      <c r="P7" t="str">
        <f ca="1">IF(Summary!S8="","",IF(F7=Summary!S8,"Right","Wrong"))</f>
        <v>Right</v>
      </c>
      <c r="R7" s="103"/>
      <c r="S7" s="103"/>
    </row>
    <row r="8" spans="1:19" ht="18" customHeight="1" x14ac:dyDescent="0.4">
      <c r="A8" s="4">
        <v>43820</v>
      </c>
      <c r="B8" s="5" t="s">
        <v>20</v>
      </c>
      <c r="C8" s="12" t="s">
        <v>21</v>
      </c>
      <c r="D8" s="13" t="s">
        <v>22</v>
      </c>
      <c r="E8" s="8" t="s">
        <v>21</v>
      </c>
      <c r="F8" s="9">
        <v>11</v>
      </c>
      <c r="G8" s="10" t="str" cm="1">
        <f t="array" ref="G8">IF(ROW(G8)-ROW(G$4)+1&gt;COUNT(I$1:I$40),"",INDEX(H:H,SMALL(I$1:I$40,1+ROW(G8)-ROW(G$4))))</f>
        <v/>
      </c>
      <c r="H8">
        <v>8</v>
      </c>
      <c r="I8" s="1" t="str">
        <f t="shared" si="0"/>
        <v/>
      </c>
      <c r="J8" s="1" t="str" cm="1">
        <f t="array" ref="J8">IF(ROW(G11)-ROW(G$4)+1&gt;COUNT(I$1:I$40),"",INDEX(H:H,SMALL(I$1:I$40,1+ROW(G11)-ROW(G$4))))</f>
        <v/>
      </c>
      <c r="P8" t="str">
        <f ca="1">IF(Summary!S9="","",IF(F8=Summary!S9,"Right","Wrong"))</f>
        <v>Wrong</v>
      </c>
      <c r="R8" s="103"/>
      <c r="S8" s="103"/>
    </row>
    <row r="9" spans="1:19" ht="18" customHeight="1" x14ac:dyDescent="0.4">
      <c r="A9" s="4">
        <v>43820</v>
      </c>
      <c r="B9" s="5" t="s">
        <v>23</v>
      </c>
      <c r="C9" s="12" t="s">
        <v>24</v>
      </c>
      <c r="D9" s="13" t="s">
        <v>25</v>
      </c>
      <c r="E9" s="8" t="s">
        <v>24</v>
      </c>
      <c r="F9" s="9">
        <v>18</v>
      </c>
      <c r="G9" s="10" t="str" cm="1">
        <f t="array" ref="G9">IF(ROW(G9)-ROW(G$4)+1&gt;COUNT(I$1:I$40),"",INDEX(H:H,SMALL(I$1:I$40,1+ROW(G9)-ROW(G$4))))</f>
        <v/>
      </c>
      <c r="H9">
        <v>9</v>
      </c>
      <c r="I9" s="1" t="str">
        <f t="shared" si="0"/>
        <v/>
      </c>
      <c r="J9" s="1" t="str" cm="1">
        <f t="array" ref="J9">IF(ROW(G12)-ROW(G$4)+1&gt;COUNT(I$1:I$40),"",INDEX(H:H,SMALL(I$1:I$40,1+ROW(G12)-ROW(G$4))))</f>
        <v/>
      </c>
      <c r="P9" t="str">
        <f ca="1">IF(Summary!S10="","",IF(F9=Summary!S10,"Right","Wrong"))</f>
        <v>Wrong</v>
      </c>
    </row>
    <row r="10" spans="1:19" ht="18" customHeight="1" x14ac:dyDescent="0.4">
      <c r="A10" s="4">
        <v>43820</v>
      </c>
      <c r="B10" s="5" t="s">
        <v>26</v>
      </c>
      <c r="C10" s="12" t="s">
        <v>27</v>
      </c>
      <c r="D10" s="13" t="s">
        <v>28</v>
      </c>
      <c r="E10" s="8" t="s">
        <v>28</v>
      </c>
      <c r="F10" s="9">
        <v>17</v>
      </c>
      <c r="G10" s="10" t="str" cm="1">
        <f t="array" ref="G10">IF(ROW(G10)-ROW(G$4)+1&gt;COUNT(I$1:I$40),"",INDEX(H:H,SMALL(I$1:I$40,1+ROW(G10)-ROW(G$4))))</f>
        <v/>
      </c>
      <c r="H10">
        <v>10</v>
      </c>
      <c r="I10" s="1" t="str">
        <f t="shared" si="0"/>
        <v/>
      </c>
      <c r="J10" s="1" t="str" cm="1">
        <f t="array" ref="J10">IF(ROW(G13)-ROW(G$4)+1&gt;COUNT(I$1:I$40),"",INDEX(H:H,SMALL(I$1:I$40,1+ROW(G13)-ROW(G$4))))</f>
        <v/>
      </c>
      <c r="P10" t="str">
        <f ca="1">IF(Summary!S11="","",IF(F10=Summary!S11,"Right","Wrong"))</f>
        <v>Right</v>
      </c>
    </row>
    <row r="11" spans="1:19" ht="18" customHeight="1" x14ac:dyDescent="0.4">
      <c r="A11" s="4">
        <v>43820</v>
      </c>
      <c r="B11" s="5" t="s">
        <v>29</v>
      </c>
      <c r="C11" s="12" t="s">
        <v>30</v>
      </c>
      <c r="D11" s="13" t="s">
        <v>31</v>
      </c>
      <c r="E11" s="8" t="s">
        <v>31</v>
      </c>
      <c r="F11" s="9">
        <v>22</v>
      </c>
      <c r="G11" s="10" t="str" cm="1">
        <f t="array" ref="G11">IF(ROW(G11)-ROW(G$4)+1&gt;COUNT(I$1:I$40),"",INDEX(H:H,SMALL(I$1:I$40,1+ROW(G11)-ROW(G$4))))</f>
        <v/>
      </c>
      <c r="H11">
        <v>11</v>
      </c>
      <c r="I11" s="1" t="str">
        <f t="shared" si="0"/>
        <v/>
      </c>
      <c r="J11" s="1" t="str" cm="1">
        <f t="array" ref="J11">IF(ROW(G14)-ROW(G$4)+1&gt;COUNT(I$1:I$40),"",INDEX(H:H,SMALL(I$1:I$40,1+ROW(G14)-ROW(G$4))))</f>
        <v/>
      </c>
      <c r="P11" t="str">
        <f ca="1">IF(Summary!S12="","",IF(F11=Summary!S12,"Right","Wrong"))</f>
        <v>Wrong</v>
      </c>
    </row>
    <row r="12" spans="1:19" ht="18" customHeight="1" x14ac:dyDescent="0.4">
      <c r="A12" s="4">
        <v>43820</v>
      </c>
      <c r="B12" s="5" t="s">
        <v>32</v>
      </c>
      <c r="C12" s="12" t="s">
        <v>33</v>
      </c>
      <c r="D12" s="13" t="s">
        <v>34</v>
      </c>
      <c r="E12" s="8" t="s">
        <v>33</v>
      </c>
      <c r="F12" s="9">
        <v>28</v>
      </c>
      <c r="G12" s="10" t="str" cm="1">
        <f t="array" ref="G12">IF(ROW(G12)-ROW(G$4)+1&gt;COUNT(I$1:I$40),"",INDEX(H:H,SMALL(I$1:I$40,1+ROW(G12)-ROW(G$4))))</f>
        <v/>
      </c>
      <c r="H12">
        <v>12</v>
      </c>
      <c r="I12" s="1" t="str">
        <f t="shared" si="0"/>
        <v/>
      </c>
      <c r="J12" s="1" t="str" cm="1">
        <f t="array" ref="J12">IF(ROW(G15)-ROW(G$4)+1&gt;COUNT(I$1:I$40),"",INDEX(H:H,SMALL(I$1:I$40,1+ROW(G15)-ROW(G$4))))</f>
        <v/>
      </c>
      <c r="P12" t="str">
        <f ca="1">IF(Summary!S13="","",IF(F12=Summary!S13,"Right","Wrong"))</f>
        <v>Right</v>
      </c>
    </row>
    <row r="13" spans="1:19" ht="18" customHeight="1" x14ac:dyDescent="0.4">
      <c r="A13" s="4">
        <v>43822</v>
      </c>
      <c r="B13" s="5" t="s">
        <v>35</v>
      </c>
      <c r="C13" s="12" t="s">
        <v>36</v>
      </c>
      <c r="D13" s="13" t="s">
        <v>37</v>
      </c>
      <c r="E13" s="8" t="s">
        <v>36</v>
      </c>
      <c r="F13" s="9">
        <v>12</v>
      </c>
      <c r="G13" s="10" t="str" cm="1">
        <f t="array" ref="G13">IF(ROW(G13)-ROW(G$4)+1&gt;COUNT(I$1:I$40),"",INDEX(H:H,SMALL(I$1:I$40,1+ROW(G13)-ROW(G$4))))</f>
        <v/>
      </c>
      <c r="H13">
        <v>13</v>
      </c>
      <c r="I13" s="1" t="str">
        <f t="shared" si="0"/>
        <v/>
      </c>
      <c r="J13" s="1" t="str" cm="1">
        <f t="array" ref="J13">IF(ROW(G16)-ROW(G$4)+1&gt;COUNT(I$1:I$40),"",INDEX(H:H,SMALL(I$1:I$40,1+ROW(G16)-ROW(G$4))))</f>
        <v/>
      </c>
      <c r="P13" t="str">
        <f ca="1">IF(Summary!S14="","",IF(F13=Summary!S14,"Right","Wrong"))</f>
        <v>Right</v>
      </c>
    </row>
    <row r="14" spans="1:19" ht="18" customHeight="1" x14ac:dyDescent="0.4">
      <c r="A14" s="4">
        <v>43823</v>
      </c>
      <c r="B14" s="5" t="s">
        <v>38</v>
      </c>
      <c r="C14" s="12" t="s">
        <v>39</v>
      </c>
      <c r="D14" s="13" t="s">
        <v>40</v>
      </c>
      <c r="E14" s="8" t="s">
        <v>40</v>
      </c>
      <c r="F14" s="9">
        <v>4</v>
      </c>
      <c r="G14" s="10" t="str" cm="1">
        <f t="array" ref="G14">IF(ROW(G14)-ROW(G$4)+1&gt;COUNT(I$1:I$40),"",INDEX(H:H,SMALL(I$1:I$40,1+ROW(G14)-ROW(G$4))))</f>
        <v/>
      </c>
      <c r="H14">
        <v>14</v>
      </c>
      <c r="I14" s="1" t="str">
        <f t="shared" si="0"/>
        <v/>
      </c>
      <c r="J14" s="1" t="str" cm="1">
        <f t="array" ref="J14">IF(ROW(G17)-ROW(G$4)+1&gt;COUNT(I$1:I$40),"",INDEX(H:H,SMALL(I$1:I$40,1+ROW(G17)-ROW(G$4))))</f>
        <v/>
      </c>
      <c r="P14" t="str">
        <f ca="1">IF(Summary!S15="","",IF(F14=Summary!S15,"Right","Wrong"))</f>
        <v>Wrong</v>
      </c>
    </row>
    <row r="15" spans="1:19" ht="18" customHeight="1" x14ac:dyDescent="0.4">
      <c r="A15" s="4">
        <v>43825</v>
      </c>
      <c r="B15" s="5" t="s">
        <v>41</v>
      </c>
      <c r="C15" s="12" t="s">
        <v>42</v>
      </c>
      <c r="D15" s="13" t="s">
        <v>43</v>
      </c>
      <c r="E15" s="8" t="s">
        <v>43</v>
      </c>
      <c r="F15" s="9">
        <v>16</v>
      </c>
      <c r="G15" s="10" t="str" cm="1">
        <f t="array" ref="G15">IF(ROW(G15)-ROW(G$4)+1&gt;COUNT(I$1:I$40),"",INDEX(H:H,SMALL(I$1:I$40,1+ROW(G15)-ROW(G$4))))</f>
        <v/>
      </c>
      <c r="H15">
        <v>15</v>
      </c>
      <c r="I15" s="1" t="str">
        <f t="shared" si="0"/>
        <v/>
      </c>
      <c r="J15" s="1" t="str" cm="1">
        <f t="array" ref="J15">IF(ROW(G18)-ROW(G$4)+1&gt;COUNT(I$1:I$40),"",INDEX(H:H,SMALL(I$1:I$40,1+ROW(G18)-ROW(G$4))))</f>
        <v/>
      </c>
      <c r="P15" t="str">
        <f ca="1">IF(Summary!S16="","",IF(F15=Summary!S16,"Right","Wrong"))</f>
        <v>Right</v>
      </c>
    </row>
    <row r="16" spans="1:19" ht="18" customHeight="1" x14ac:dyDescent="0.4">
      <c r="A16" s="4">
        <v>43825</v>
      </c>
      <c r="B16" s="5" t="s">
        <v>44</v>
      </c>
      <c r="C16" s="12" t="s">
        <v>45</v>
      </c>
      <c r="D16" s="13" t="s">
        <v>46</v>
      </c>
      <c r="E16" s="8" t="s">
        <v>45</v>
      </c>
      <c r="F16" s="9">
        <v>32</v>
      </c>
      <c r="G16" s="10" t="str" cm="1">
        <f t="array" ref="G16">IF(ROW(G16)-ROW(G$4)+1&gt;COUNT(I$1:I$40),"",INDEX(H:H,SMALL(I$1:I$40,1+ROW(G16)-ROW(G$4))))</f>
        <v/>
      </c>
      <c r="H16">
        <v>16</v>
      </c>
      <c r="I16" s="1" t="str">
        <f t="shared" si="0"/>
        <v/>
      </c>
      <c r="J16" s="1" t="str" cm="1">
        <f t="array" ref="J16">IF(ROW(G19)-ROW(G$4)+1&gt;COUNT(I$1:I$40),"",INDEX(H:H,SMALL(I$1:I$40,1+ROW(G19)-ROW(G$4))))</f>
        <v/>
      </c>
      <c r="P16" t="str">
        <f ca="1">IF(Summary!S17="","",IF(F16=Summary!S17,"Right","Wrong"))</f>
        <v>Right</v>
      </c>
    </row>
    <row r="17" spans="1:16" ht="18" customHeight="1" x14ac:dyDescent="0.4">
      <c r="A17" s="4">
        <v>43826</v>
      </c>
      <c r="B17" s="5" t="s">
        <v>47</v>
      </c>
      <c r="C17" s="12" t="s">
        <v>48</v>
      </c>
      <c r="D17" s="13" t="s">
        <v>49</v>
      </c>
      <c r="E17" s="8" t="s">
        <v>49</v>
      </c>
      <c r="F17" s="9">
        <v>24</v>
      </c>
      <c r="G17" s="10" t="str" cm="1">
        <f t="array" ref="G17">IF(ROW(G17)-ROW(G$4)+1&gt;COUNT(I$1:I$40),"",INDEX(H:H,SMALL(I$1:I$40,1+ROW(G17)-ROW(G$4))))</f>
        <v/>
      </c>
      <c r="H17">
        <v>17</v>
      </c>
      <c r="I17" s="1" t="str">
        <f t="shared" si="0"/>
        <v/>
      </c>
      <c r="J17" s="1" t="str" cm="1">
        <f t="array" ref="J17">IF(ROW(G20)-ROW(G$4)+1&gt;COUNT(I$1:I$40),"",INDEX(H:H,SMALL(I$1:I$40,1+ROW(G20)-ROW(G$4))))</f>
        <v/>
      </c>
      <c r="P17" t="str">
        <f ca="1">IF(Summary!S18="","",IF(F17=Summary!S18,"Right","Wrong"))</f>
        <v>Wrong</v>
      </c>
    </row>
    <row r="18" spans="1:16" ht="18" customHeight="1" x14ac:dyDescent="0.4">
      <c r="A18" s="4">
        <v>43826</v>
      </c>
      <c r="B18" s="5" t="s">
        <v>50</v>
      </c>
      <c r="C18" s="12" t="s">
        <v>51</v>
      </c>
      <c r="D18" s="13" t="s">
        <v>52</v>
      </c>
      <c r="E18" s="8" t="s">
        <v>51</v>
      </c>
      <c r="F18" s="9">
        <v>9</v>
      </c>
      <c r="G18" s="10" t="str" cm="1">
        <f t="array" ref="G18">IF(ROW(G18)-ROW(G$4)+1&gt;COUNT(I$1:I$40),"",INDEX(H:H,SMALL(I$1:I$40,1+ROW(G18)-ROW(G$4))))</f>
        <v/>
      </c>
      <c r="H18">
        <v>18</v>
      </c>
      <c r="I18" s="1" t="str">
        <f t="shared" si="0"/>
        <v/>
      </c>
      <c r="J18" s="1" t="str" cm="1">
        <f t="array" ref="J18">IF(ROW(G21)-ROW(G$4)+1&gt;COUNT(I$1:I$40),"",INDEX(H:H,SMALL(I$1:I$40,1+ROW(G21)-ROW(G$4))))</f>
        <v/>
      </c>
      <c r="P18" t="str">
        <f ca="1">IF(Summary!S19="","",IF(F18=Summary!S19,"Right","Wrong"))</f>
        <v>Wrong</v>
      </c>
    </row>
    <row r="19" spans="1:16" ht="18" customHeight="1" x14ac:dyDescent="0.4">
      <c r="A19" s="4">
        <v>43826</v>
      </c>
      <c r="B19" s="5" t="s">
        <v>53</v>
      </c>
      <c r="C19" s="12" t="s">
        <v>54</v>
      </c>
      <c r="D19" s="13" t="s">
        <v>55</v>
      </c>
      <c r="E19" s="8" t="s">
        <v>54</v>
      </c>
      <c r="F19" s="9">
        <v>14</v>
      </c>
      <c r="G19" s="10" t="str" cm="1">
        <f t="array" ref="G19">IF(ROW(G19)-ROW(G$4)+1&gt;COUNT(I$1:I$40),"",INDEX(H:H,SMALL(I$1:I$40,1+ROW(G19)-ROW(G$4))))</f>
        <v/>
      </c>
      <c r="H19">
        <v>19</v>
      </c>
      <c r="I19" s="1" t="str">
        <f t="shared" si="0"/>
        <v/>
      </c>
      <c r="J19" s="1" t="str" cm="1">
        <f t="array" ref="J19">IF(ROW(G22)-ROW(G$4)+1&gt;COUNT(I$1:I$40),"",INDEX(H:H,SMALL(I$1:I$40,1+ROW(G22)-ROW(G$4))))</f>
        <v/>
      </c>
      <c r="P19" t="str">
        <f ca="1">IF(Summary!S20="","",IF(F19=Summary!S20,"Right","Wrong"))</f>
        <v>Wrong</v>
      </c>
    </row>
    <row r="20" spans="1:16" ht="18" customHeight="1" x14ac:dyDescent="0.4">
      <c r="A20" s="4">
        <v>43826</v>
      </c>
      <c r="B20" s="5" t="s">
        <v>56</v>
      </c>
      <c r="C20" s="12" t="s">
        <v>57</v>
      </c>
      <c r="D20" s="13" t="s">
        <v>58</v>
      </c>
      <c r="E20" s="8" t="s">
        <v>58</v>
      </c>
      <c r="F20" s="9">
        <v>34</v>
      </c>
      <c r="G20" s="10" t="str" cm="1">
        <f t="array" ref="G20">IF(ROW(G20)-ROW(G$4)+1&gt;COUNT(I$1:I$40),"",INDEX(H:H,SMALL(I$1:I$40,1+ROW(G20)-ROW(G$4))))</f>
        <v/>
      </c>
      <c r="H20">
        <v>20</v>
      </c>
      <c r="I20" s="1" t="str">
        <f t="shared" si="0"/>
        <v/>
      </c>
      <c r="J20" s="1" t="str" cm="1">
        <f t="array" ref="J20">IF(ROW(G23)-ROW(G$4)+1&gt;COUNT(I$1:I$40),"",INDEX(H:H,SMALL(I$1:I$40,1+ROW(G23)-ROW(G$4))))</f>
        <v/>
      </c>
      <c r="P20" t="str">
        <f ca="1">IF(Summary!S21="","",IF(F20=Summary!S21,"Right","Wrong"))</f>
        <v>Right</v>
      </c>
    </row>
    <row r="21" spans="1:16" ht="18" customHeight="1" x14ac:dyDescent="0.4">
      <c r="A21" s="4">
        <v>43826</v>
      </c>
      <c r="B21" s="5" t="s">
        <v>59</v>
      </c>
      <c r="C21" s="12" t="s">
        <v>60</v>
      </c>
      <c r="D21" s="13" t="s">
        <v>61</v>
      </c>
      <c r="E21" s="8" t="s">
        <v>60</v>
      </c>
      <c r="F21" s="9">
        <v>5</v>
      </c>
      <c r="G21" s="10" t="str" cm="1">
        <f t="array" ref="G21">IF(ROW(G21)-ROW(G$4)+1&gt;COUNT(I$1:I$40),"",INDEX(H:H,SMALL(I$1:I$40,1+ROW(G21)-ROW(G$4))))</f>
        <v/>
      </c>
      <c r="H21">
        <v>21</v>
      </c>
      <c r="I21" s="1" t="str">
        <f t="shared" si="0"/>
        <v/>
      </c>
      <c r="J21" s="1" t="str" cm="1">
        <f t="array" ref="J21">IF(ROW(G24)-ROW(G$4)+1&gt;COUNT(I$1:I$40),"",INDEX(H:H,SMALL(I$1:I$40,1+ROW(G24)-ROW(G$4))))</f>
        <v/>
      </c>
      <c r="P21" t="str">
        <f ca="1">IF(Summary!S22="","",IF(F21=Summary!S22,"Right","Wrong"))</f>
        <v>Right</v>
      </c>
    </row>
    <row r="22" spans="1:16" ht="18" customHeight="1" x14ac:dyDescent="0.4">
      <c r="A22" s="4">
        <v>43827</v>
      </c>
      <c r="B22" s="5" t="s">
        <v>62</v>
      </c>
      <c r="C22" s="12" t="s">
        <v>63</v>
      </c>
      <c r="D22" s="13" t="s">
        <v>64</v>
      </c>
      <c r="E22" s="8" t="s">
        <v>63</v>
      </c>
      <c r="F22" s="9">
        <v>36</v>
      </c>
      <c r="G22" s="10" t="str" cm="1">
        <f t="array" ref="G22">IF(ROW(G22)-ROW(G$4)+1&gt;COUNT(I$1:I$40),"",INDEX(H:H,SMALL(I$1:I$40,1+ROW(G22)-ROW(G$4))))</f>
        <v/>
      </c>
      <c r="H22">
        <v>22</v>
      </c>
      <c r="I22" s="1" t="str">
        <f t="shared" si="0"/>
        <v/>
      </c>
      <c r="J22" s="1" t="str" cm="1">
        <f t="array" ref="J22">IF(ROW(G25)-ROW(G$4)+1&gt;COUNT(I$1:I$40),"",INDEX(H:H,SMALL(I$1:I$40,1+ROW(G25)-ROW(G$4))))</f>
        <v/>
      </c>
      <c r="P22" t="str">
        <f ca="1">IF(Summary!S23="","",IF(F22=Summary!S23,"Right","Wrong"))</f>
        <v>Right</v>
      </c>
    </row>
    <row r="23" spans="1:16" ht="18" customHeight="1" x14ac:dyDescent="0.4">
      <c r="A23" s="4">
        <v>43827</v>
      </c>
      <c r="B23" s="5" t="s">
        <v>65</v>
      </c>
      <c r="C23" s="12" t="s">
        <v>66</v>
      </c>
      <c r="D23" s="13" t="s">
        <v>67</v>
      </c>
      <c r="E23" s="8" t="s">
        <v>66</v>
      </c>
      <c r="F23" s="9">
        <v>39</v>
      </c>
      <c r="G23" s="10" t="str" cm="1">
        <f t="array" ref="G23">IF(ROW(G23)-ROW(G$4)+1&gt;COUNT(I$1:I$40),"",INDEX(H:H,SMALL(I$1:I$40,1+ROW(G23)-ROW(G$4))))</f>
        <v/>
      </c>
      <c r="H23">
        <v>23</v>
      </c>
      <c r="I23" s="1" t="str">
        <f t="shared" si="0"/>
        <v/>
      </c>
      <c r="J23" s="1" t="str" cm="1">
        <f t="array" ref="J23">IF(ROW(G26)-ROW(G$4)+1&gt;COUNT(I$1:I$40),"",INDEX(H:H,SMALL(I$1:I$40,1+ROW(G26)-ROW(G$4))))</f>
        <v/>
      </c>
      <c r="P23" t="str">
        <f ca="1">IF(Summary!S24="","",IF(F23=Summary!S24,"Right","Wrong"))</f>
        <v>Right</v>
      </c>
    </row>
    <row r="24" spans="1:16" ht="18" customHeight="1" x14ac:dyDescent="0.4">
      <c r="A24" s="4">
        <v>43827</v>
      </c>
      <c r="B24" s="5" t="s">
        <v>68</v>
      </c>
      <c r="C24" s="12" t="s">
        <v>69</v>
      </c>
      <c r="D24" s="13" t="s">
        <v>70</v>
      </c>
      <c r="E24" s="8" t="s">
        <v>69</v>
      </c>
      <c r="F24" s="9">
        <v>21</v>
      </c>
      <c r="G24" s="10" t="str" cm="1">
        <f t="array" ref="G24">IF(ROW(G24)-ROW(G$4)+1&gt;COUNT(I$1:I$40),"",INDEX(H:H,SMALL(I$1:I$40,1+ROW(G24)-ROW(G$4))))</f>
        <v/>
      </c>
      <c r="H24">
        <v>24</v>
      </c>
      <c r="I24" s="1" t="str">
        <f t="shared" si="0"/>
        <v/>
      </c>
      <c r="J24" s="1" t="str" cm="1">
        <f t="array" ref="J24">IF(ROW(G27)-ROW(G$4)+1&gt;COUNT(I$1:I$40),"",INDEX(H:H,SMALL(I$1:I$40,1+ROW(G27)-ROW(G$4))))</f>
        <v/>
      </c>
      <c r="P24" t="str">
        <f ca="1">IF(Summary!S25="","",IF(F24=Summary!S25,"Right","Wrong"))</f>
        <v>Right</v>
      </c>
    </row>
    <row r="25" spans="1:16" ht="18" customHeight="1" x14ac:dyDescent="0.4">
      <c r="A25" s="4">
        <v>43827</v>
      </c>
      <c r="B25" s="5" t="s">
        <v>71</v>
      </c>
      <c r="C25" s="12" t="s">
        <v>72</v>
      </c>
      <c r="D25" s="13" t="s">
        <v>73</v>
      </c>
      <c r="E25" s="8" t="s">
        <v>72</v>
      </c>
      <c r="F25" s="9">
        <v>1</v>
      </c>
      <c r="G25" s="10" t="str" cm="1">
        <f t="array" ref="G25">IF(ROW(G25)-ROW(G$4)+1&gt;COUNT(I$1:I$40),"",INDEX(H:H,SMALL(I$1:I$40,1+ROW(G25)-ROW(G$4))))</f>
        <v/>
      </c>
      <c r="H25">
        <v>25</v>
      </c>
      <c r="I25" s="1" t="str">
        <f t="shared" si="0"/>
        <v/>
      </c>
      <c r="J25" s="1" t="str" cm="1">
        <f t="array" ref="J25">IF(ROW(G28)-ROW(G$4)+1&gt;COUNT(I$1:I$40),"",INDEX(H:H,SMALL(I$1:I$40,1+ROW(G28)-ROW(G$4))))</f>
        <v/>
      </c>
      <c r="P25" t="str">
        <f ca="1">IF(Summary!S26="","",IF(F25=Summary!S26,"Right","Wrong"))</f>
        <v>Wrong</v>
      </c>
    </row>
    <row r="26" spans="1:16" ht="18" customHeight="1" x14ac:dyDescent="0.4">
      <c r="A26" s="4">
        <v>43829</v>
      </c>
      <c r="B26" s="5" t="s">
        <v>74</v>
      </c>
      <c r="C26" s="12" t="s">
        <v>75</v>
      </c>
      <c r="D26" s="13" t="s">
        <v>76</v>
      </c>
      <c r="E26" s="8" t="s">
        <v>75</v>
      </c>
      <c r="F26" s="9">
        <v>19</v>
      </c>
      <c r="G26" s="10" t="str" cm="1">
        <f t="array" ref="G26">IF(ROW(G26)-ROW(G$4)+1&gt;COUNT(I$1:I$40),"",INDEX(H:H,SMALL(I$1:I$40,1+ROW(G26)-ROW(G$4))))</f>
        <v/>
      </c>
      <c r="H26">
        <v>26</v>
      </c>
      <c r="I26" s="1" t="str">
        <f t="shared" si="0"/>
        <v/>
      </c>
      <c r="J26" s="1" t="str" cm="1">
        <f t="array" ref="J26">IF(ROW(G29)-ROW(G$4)+1&gt;COUNT(I$1:I$40),"",INDEX(H:H,SMALL(I$1:I$40,1+ROW(G29)-ROW(G$4))))</f>
        <v/>
      </c>
      <c r="P26" t="str">
        <f ca="1">IF(Summary!S27="","",IF(F26=Summary!S27,"Right","Wrong"))</f>
        <v>Right</v>
      </c>
    </row>
    <row r="27" spans="1:16" ht="18" customHeight="1" x14ac:dyDescent="0.4">
      <c r="A27" s="4">
        <v>43829</v>
      </c>
      <c r="B27" s="5" t="s">
        <v>77</v>
      </c>
      <c r="C27" s="12" t="s">
        <v>78</v>
      </c>
      <c r="D27" s="13" t="s">
        <v>148</v>
      </c>
      <c r="E27" s="8" t="s">
        <v>148</v>
      </c>
      <c r="F27" s="9">
        <v>31</v>
      </c>
      <c r="G27" s="10" t="str" cm="1">
        <f t="array" ref="G27">IF(ROW(G27)-ROW(G$4)+1&gt;COUNT(I$1:I$40),"",INDEX(H:H,SMALL(I$1:I$40,1+ROW(G27)-ROW(G$4))))</f>
        <v/>
      </c>
      <c r="H27">
        <v>27</v>
      </c>
      <c r="I27" s="1" t="str">
        <f t="shared" si="0"/>
        <v/>
      </c>
      <c r="J27" s="1" t="str" cm="1">
        <f t="array" ref="J27">IF(ROW(G30)-ROW(G$4)+1&gt;COUNT(I$1:I$40),"",INDEX(H:H,SMALL(I$1:I$40,1+ROW(G30)-ROW(G$4))))</f>
        <v/>
      </c>
      <c r="P27" t="str">
        <f ca="1">IF(Summary!S28="","",IF(F27=Summary!S28,"Right","Wrong"))</f>
        <v>Right</v>
      </c>
    </row>
    <row r="28" spans="1:16" ht="18" customHeight="1" x14ac:dyDescent="0.4">
      <c r="A28" s="4">
        <v>43829</v>
      </c>
      <c r="B28" s="5" t="s">
        <v>80</v>
      </c>
      <c r="C28" s="12" t="s">
        <v>81</v>
      </c>
      <c r="D28" s="13" t="s">
        <v>82</v>
      </c>
      <c r="E28" s="8" t="s">
        <v>81</v>
      </c>
      <c r="F28" s="9">
        <v>10</v>
      </c>
      <c r="G28" s="10" t="str" cm="1">
        <f t="array" ref="G28">IF(ROW(G28)-ROW(G$4)+1&gt;COUNT(I$1:I$40),"",INDEX(H:H,SMALL(I$1:I$40,1+ROW(G28)-ROW(G$4))))</f>
        <v/>
      </c>
      <c r="H28">
        <v>28</v>
      </c>
      <c r="I28" s="1" t="str">
        <f t="shared" si="0"/>
        <v/>
      </c>
      <c r="J28" s="1" t="str" cm="1">
        <f t="array" ref="J28">IF(ROW(G31)-ROW(G$4)+1&gt;COUNT(I$1:I$40),"",INDEX(H:H,SMALL(I$1:I$40,1+ROW(G31)-ROW(G$4))))</f>
        <v/>
      </c>
      <c r="P28" t="str">
        <f ca="1">IF(Summary!S29="","",IF(F28=Summary!S29,"Right","Wrong"))</f>
        <v>Wrong</v>
      </c>
    </row>
    <row r="29" spans="1:16" ht="18" customHeight="1" x14ac:dyDescent="0.4">
      <c r="A29" s="4">
        <v>43829</v>
      </c>
      <c r="B29" s="5" t="s">
        <v>83</v>
      </c>
      <c r="C29" s="12" t="s">
        <v>84</v>
      </c>
      <c r="D29" s="13" t="s">
        <v>85</v>
      </c>
      <c r="E29" s="8" t="s">
        <v>84</v>
      </c>
      <c r="F29" s="9">
        <v>38</v>
      </c>
      <c r="G29" s="10" t="str" cm="1">
        <f t="array" ref="G29">IF(ROW(G29)-ROW(G$4)+1&gt;COUNT(I$1:I$40),"",INDEX(H:H,SMALL(I$1:I$40,1+ROW(G29)-ROW(G$4))))</f>
        <v/>
      </c>
      <c r="H29">
        <v>29</v>
      </c>
      <c r="I29" s="1" t="str">
        <f t="shared" si="0"/>
        <v/>
      </c>
      <c r="J29" s="1" t="str" cm="1">
        <f t="array" ref="J29">IF(ROW(G32)-ROW(G$4)+1&gt;COUNT(I$1:I$40),"",INDEX(H:H,SMALL(I$1:I$40,1+ROW(G32)-ROW(G$4))))</f>
        <v/>
      </c>
      <c r="P29" t="str">
        <f ca="1">IF(Summary!S30="","",IF(F29=Summary!S30,"Right","Wrong"))</f>
        <v>Right</v>
      </c>
    </row>
    <row r="30" spans="1:16" ht="18" customHeight="1" x14ac:dyDescent="0.4">
      <c r="A30" s="4">
        <v>43830</v>
      </c>
      <c r="B30" s="5" t="s">
        <v>86</v>
      </c>
      <c r="C30" s="12" t="s">
        <v>87</v>
      </c>
      <c r="D30" s="13" t="s">
        <v>88</v>
      </c>
      <c r="E30" s="8" t="s">
        <v>88</v>
      </c>
      <c r="F30" s="9">
        <v>30</v>
      </c>
      <c r="G30" s="10" t="str" cm="1">
        <f t="array" ref="G30">IF(ROW(G30)-ROW(G$4)+1&gt;COUNT(I$1:I$40),"",INDEX(H:H,SMALL(I$1:I$40,1+ROW(G30)-ROW(G$4))))</f>
        <v/>
      </c>
      <c r="H30">
        <v>30</v>
      </c>
      <c r="I30" s="1" t="str">
        <f t="shared" si="0"/>
        <v/>
      </c>
      <c r="J30" s="1" t="str" cm="1">
        <f t="array" ref="J30">IF(ROW(G33)-ROW(G$4)+1&gt;COUNT(I$1:I$40),"",INDEX(H:H,SMALL(I$1:I$40,1+ROW(G33)-ROW(G$4))))</f>
        <v/>
      </c>
      <c r="P30" t="str">
        <f ca="1">IF(Summary!S31="","",IF(F30=Summary!S31,"Right","Wrong"))</f>
        <v>Wrong</v>
      </c>
    </row>
    <row r="31" spans="1:16" ht="18" customHeight="1" x14ac:dyDescent="0.4">
      <c r="A31" s="4">
        <v>43830</v>
      </c>
      <c r="B31" s="5" t="s">
        <v>89</v>
      </c>
      <c r="C31" s="12" t="s">
        <v>90</v>
      </c>
      <c r="D31" s="13" t="s">
        <v>91</v>
      </c>
      <c r="E31" s="8" t="s">
        <v>91</v>
      </c>
      <c r="F31" s="9">
        <v>29</v>
      </c>
      <c r="G31" s="10" t="str" cm="1">
        <f t="array" ref="G31">IF(ROW(G31)-ROW(G$4)+1&gt;COUNT(I$1:I$40),"",INDEX(H:H,SMALL(I$1:I$40,1+ROW(G31)-ROW(G$4))))</f>
        <v/>
      </c>
      <c r="H31">
        <v>31</v>
      </c>
      <c r="I31" s="1" t="str">
        <f t="shared" si="0"/>
        <v/>
      </c>
      <c r="J31" s="1" t="str" cm="1">
        <f t="array" ref="J31">IF(ROW(G34)-ROW(G$4)+1&gt;COUNT(I$1:I$40),"",INDEX(H:H,SMALL(I$1:I$40,1+ROW(G34)-ROW(G$4))))</f>
        <v/>
      </c>
      <c r="P31" t="str">
        <f ca="1">IF(Summary!S32="","",IF(F31=Summary!S32,"Right","Wrong"))</f>
        <v>Right</v>
      </c>
    </row>
    <row r="32" spans="1:16" ht="18" customHeight="1" x14ac:dyDescent="0.4">
      <c r="A32" s="4">
        <v>43830</v>
      </c>
      <c r="B32" s="5" t="s">
        <v>92</v>
      </c>
      <c r="C32" s="12" t="s">
        <v>93</v>
      </c>
      <c r="D32" s="13" t="s">
        <v>94</v>
      </c>
      <c r="E32" s="8" t="s">
        <v>93</v>
      </c>
      <c r="F32" s="9">
        <v>7</v>
      </c>
      <c r="G32" s="10" t="str" cm="1">
        <f t="array" ref="G32">IF(ROW(G32)-ROW(G$4)+1&gt;COUNT(I$1:I$40),"",INDEX(H:H,SMALL(I$1:I$40,1+ROW(G32)-ROW(G$4))))</f>
        <v/>
      </c>
      <c r="H32">
        <v>32</v>
      </c>
      <c r="I32" s="1" t="str">
        <f t="shared" si="0"/>
        <v/>
      </c>
      <c r="J32" s="1" t="str" cm="1">
        <f t="array" ref="J32">IF(ROW(G35)-ROW(G$4)+1&gt;COUNT(I$1:I$40),"",INDEX(H:H,SMALL(I$1:I$40,1+ROW(G35)-ROW(G$4))))</f>
        <v/>
      </c>
      <c r="P32" t="str">
        <f ca="1">IF(Summary!S33="","",IF(F32=Summary!S33,"Right","Wrong"))</f>
        <v>Right</v>
      </c>
    </row>
    <row r="33" spans="1:16" ht="18" customHeight="1" x14ac:dyDescent="0.4">
      <c r="A33" s="4">
        <v>43830</v>
      </c>
      <c r="B33" s="5" t="s">
        <v>95</v>
      </c>
      <c r="C33" s="12" t="s">
        <v>96</v>
      </c>
      <c r="D33" s="13" t="s">
        <v>97</v>
      </c>
      <c r="E33" s="8" t="s">
        <v>97</v>
      </c>
      <c r="F33" s="9">
        <v>6</v>
      </c>
      <c r="G33" s="10" t="str" cm="1">
        <f t="array" ref="G33">IF(ROW(G33)-ROW(G$4)+1&gt;COUNT(I$1:I$40),"",INDEX(H:H,SMALL(I$1:I$40,1+ROW(G33)-ROW(G$4))))</f>
        <v/>
      </c>
      <c r="H33">
        <v>33</v>
      </c>
      <c r="I33" s="1" t="str">
        <f t="shared" si="0"/>
        <v/>
      </c>
      <c r="J33" s="1" t="str" cm="1">
        <f t="array" ref="J33">IF(ROW(G36)-ROW(G$4)+1&gt;COUNT(I$1:I$40),"",INDEX(H:H,SMALL(I$1:I$40,1+ROW(G36)-ROW(G$4))))</f>
        <v/>
      </c>
      <c r="P33" t="str">
        <f ca="1">IF(Summary!S34="","",IF(F33=Summary!S34,"Right","Wrong"))</f>
        <v>Right</v>
      </c>
    </row>
    <row r="34" spans="1:16" ht="18" customHeight="1" x14ac:dyDescent="0.4">
      <c r="A34" s="4">
        <v>43830</v>
      </c>
      <c r="B34" s="5" t="s">
        <v>98</v>
      </c>
      <c r="C34" s="12" t="s">
        <v>99</v>
      </c>
      <c r="D34" s="13" t="s">
        <v>100</v>
      </c>
      <c r="E34" s="8" t="s">
        <v>99</v>
      </c>
      <c r="F34" s="9">
        <v>40</v>
      </c>
      <c r="G34" s="10" t="str" cm="1">
        <f t="array" ref="G34">IF(ROW(G34)-ROW(G$4)+1&gt;COUNT(I$1:I$40),"",INDEX(H:H,SMALL(I$1:I$40,1+ROW(G34)-ROW(G$4))))</f>
        <v/>
      </c>
      <c r="H34">
        <v>34</v>
      </c>
      <c r="I34" s="1" t="str">
        <f t="shared" si="0"/>
        <v/>
      </c>
      <c r="J34" s="1" t="str" cm="1">
        <f t="array" ref="J34">IF(ROW(G37)-ROW(G$4)+1&gt;COUNT(I$1:I$40),"",INDEX(H:H,SMALL(I$1:I$40,1+ROW(G37)-ROW(G$4))))</f>
        <v/>
      </c>
      <c r="P34" t="str">
        <f ca="1">IF(Summary!S35="","",IF(F34=Summary!S35,"Right","Wrong"))</f>
        <v>Wrong</v>
      </c>
    </row>
    <row r="35" spans="1:16" ht="18" customHeight="1" x14ac:dyDescent="0.4">
      <c r="A35" s="4">
        <v>43466</v>
      </c>
      <c r="B35" s="5" t="s">
        <v>101</v>
      </c>
      <c r="C35" s="12" t="s">
        <v>102</v>
      </c>
      <c r="D35" s="13" t="s">
        <v>103</v>
      </c>
      <c r="E35" s="8" t="s">
        <v>102</v>
      </c>
      <c r="F35" s="9">
        <v>37</v>
      </c>
      <c r="G35" s="10" t="str" cm="1">
        <f t="array" ref="G35">IF(ROW(G35)-ROW(G$4)+1&gt;COUNT(I$1:I$40),"",INDEX(H:H,SMALL(I$1:I$40,1+ROW(G35)-ROW(G$4))))</f>
        <v/>
      </c>
      <c r="H35">
        <v>35</v>
      </c>
      <c r="I35" s="1" t="str">
        <f t="shared" si="0"/>
        <v/>
      </c>
      <c r="J35" s="1" t="str" cm="1">
        <f t="array" ref="J35">IF(ROW(G38)-ROW(G$4)+1&gt;COUNT(I$1:I$40),"",INDEX(H:H,SMALL(I$1:I$40,1+ROW(G38)-ROW(G$4))))</f>
        <v/>
      </c>
      <c r="P35" t="str">
        <f ca="1">IF(Summary!S36="","",IF(F35=Summary!S36,"Right","Wrong"))</f>
        <v>Right</v>
      </c>
    </row>
    <row r="36" spans="1:16" ht="18" customHeight="1" x14ac:dyDescent="0.4">
      <c r="A36" s="4">
        <v>43466</v>
      </c>
      <c r="B36" s="5" t="s">
        <v>104</v>
      </c>
      <c r="C36" s="12" t="s">
        <v>105</v>
      </c>
      <c r="D36" s="13" t="s">
        <v>106</v>
      </c>
      <c r="E36" s="8" t="s">
        <v>105</v>
      </c>
      <c r="F36" s="9">
        <v>15</v>
      </c>
      <c r="G36" s="10" t="str" cm="1">
        <f t="array" ref="G36">IF(ROW(G36)-ROW(G$4)+1&gt;COUNT(I$1:I$40),"",INDEX(H:H,SMALL(I$1:I$40,1+ROW(G36)-ROW(G$4))))</f>
        <v/>
      </c>
      <c r="H36">
        <v>36</v>
      </c>
      <c r="I36" s="1" t="str">
        <f t="shared" si="0"/>
        <v/>
      </c>
      <c r="J36" s="1" t="str" cm="1">
        <f t="array" ref="J36">IF(ROW(G39)-ROW(G$4)+1&gt;COUNT(I$1:I$40),"",INDEX(H:H,SMALL(I$1:I$40,1+ROW(G39)-ROW(G$4))))</f>
        <v/>
      </c>
      <c r="P36" t="str">
        <f ca="1">IF(Summary!S37="","",IF(F36=Summary!S37,"Right","Wrong"))</f>
        <v>Wrong</v>
      </c>
    </row>
    <row r="37" spans="1:16" ht="18" customHeight="1" x14ac:dyDescent="0.4">
      <c r="A37" s="4">
        <v>43466</v>
      </c>
      <c r="B37" s="5" t="s">
        <v>107</v>
      </c>
      <c r="C37" s="12" t="s">
        <v>108</v>
      </c>
      <c r="D37" s="13" t="s">
        <v>109</v>
      </c>
      <c r="E37" s="8" t="s">
        <v>109</v>
      </c>
      <c r="F37" s="9">
        <v>3</v>
      </c>
      <c r="G37" s="10" t="str" cm="1">
        <f t="array" ref="G37">IF(ROW(G37)-ROW(G$4)+1&gt;COUNT(I$1:I$40),"",INDEX(H:H,SMALL(I$1:I$40,1+ROW(G37)-ROW(G$4))))</f>
        <v/>
      </c>
      <c r="H37">
        <v>37</v>
      </c>
      <c r="I37" s="1" t="str">
        <f t="shared" si="0"/>
        <v/>
      </c>
      <c r="J37" s="1" t="str" cm="1">
        <f t="array" ref="J37">IF(ROW(G40)-ROW(G$4)+1&gt;COUNT(I$1:I$40),"",INDEX(H:H,SMALL(I$1:I$40,1+ROW(G40)-ROW(G$4))))</f>
        <v/>
      </c>
      <c r="P37" t="str">
        <f ca="1">IF(Summary!S38="","",IF(F37=Summary!S38,"Right","Wrong"))</f>
        <v>Wrong</v>
      </c>
    </row>
    <row r="38" spans="1:16" ht="18" customHeight="1" x14ac:dyDescent="0.4">
      <c r="A38" s="4">
        <v>43466</v>
      </c>
      <c r="B38" s="5" t="s">
        <v>110</v>
      </c>
      <c r="C38" s="12" t="s">
        <v>111</v>
      </c>
      <c r="D38" s="13" t="s">
        <v>112</v>
      </c>
      <c r="E38" s="8" t="s">
        <v>111</v>
      </c>
      <c r="F38" s="9">
        <v>2</v>
      </c>
      <c r="G38" s="10" t="str" cm="1">
        <f t="array" ref="G38">IF(ROW(G38)-ROW(G$4)+1&gt;COUNT(I$1:I$40),"",INDEX(H:H,SMALL(I$1:I$40,1+ROW(G38)-ROW(G$4))))</f>
        <v/>
      </c>
      <c r="H38">
        <v>38</v>
      </c>
      <c r="I38" s="1" t="str">
        <f t="shared" si="0"/>
        <v/>
      </c>
      <c r="J38" s="1" t="str" cm="1">
        <f t="array" ref="J38">IF(ROW(G41)-ROW(G$4)+1&gt;COUNT(I$1:I$40),"",INDEX(H:H,SMALL(I$1:I$40,1+ROW(G41)-ROW(G$4))))</f>
        <v/>
      </c>
      <c r="P38" t="str">
        <f ca="1">IF(Summary!S39="","",IF(F38=Summary!S39,"Right","Wrong"))</f>
        <v>Right</v>
      </c>
    </row>
    <row r="39" spans="1:16" ht="18" customHeight="1" x14ac:dyDescent="0.4">
      <c r="A39" s="4">
        <v>43467</v>
      </c>
      <c r="B39" s="5" t="s">
        <v>113</v>
      </c>
      <c r="C39" s="12" t="s">
        <v>114</v>
      </c>
      <c r="D39" s="13" t="s">
        <v>115</v>
      </c>
      <c r="E39" s="8" t="s">
        <v>115</v>
      </c>
      <c r="F39" s="9">
        <v>33</v>
      </c>
      <c r="G39" s="10" t="str" cm="1">
        <f t="array" ref="G39">IF(ROW(G39)-ROW(G$4)+1&gt;COUNT(I$1:I$40),"",INDEX(H:H,SMALL(I$1:I$40,1+ROW(G39)-ROW(G$4))))</f>
        <v/>
      </c>
      <c r="H39">
        <v>39</v>
      </c>
      <c r="I39" s="1" t="str">
        <f t="shared" si="0"/>
        <v/>
      </c>
      <c r="J39" s="1" t="str" cm="1">
        <f t="array" ref="J39">IF(ROW(G42)-ROW(G$4)+1&gt;COUNT(I$1:I$40),"",INDEX(H:H,SMALL(I$1:I$40,1+ROW(G42)-ROW(G$4))))</f>
        <v/>
      </c>
      <c r="P39" t="str">
        <f ca="1">IF(Summary!S40="","",IF(F39=Summary!S40,"Right","Wrong"))</f>
        <v>Right</v>
      </c>
    </row>
    <row r="40" spans="1:16" ht="18" customHeight="1" x14ac:dyDescent="0.4">
      <c r="A40" s="4">
        <v>43467</v>
      </c>
      <c r="B40" s="5" t="s">
        <v>116</v>
      </c>
      <c r="C40" s="12" t="s">
        <v>117</v>
      </c>
      <c r="D40" s="13" t="s">
        <v>118</v>
      </c>
      <c r="E40" s="8" t="s">
        <v>118</v>
      </c>
      <c r="F40" s="9">
        <v>35</v>
      </c>
      <c r="G40" s="10" t="str" cm="1">
        <f t="array" ref="G40">IF(ROW(G40)-ROW(G$4)+1&gt;COUNT(I$1:I$40),"",INDEX(H:H,SMALL(I$1:I$40,1+ROW(G40)-ROW(G$4))))</f>
        <v/>
      </c>
      <c r="H40">
        <v>40</v>
      </c>
      <c r="I40" s="1" t="str">
        <f t="shared" si="0"/>
        <v/>
      </c>
      <c r="J40" s="1" t="str" cm="1">
        <f t="array" ref="J40">IF(ROW(G43)-ROW(G$4)+1&gt;COUNT(I$1:I$40),"",INDEX(H:H,SMALL(I$1:I$40,1+ROW(G43)-ROW(G$4))))</f>
        <v/>
      </c>
      <c r="P40" t="str">
        <f ca="1">IF(Summary!S41="","",IF(F40=Summary!S41,"Right","Wrong"))</f>
        <v>Wrong</v>
      </c>
    </row>
    <row r="41" spans="1:16" ht="18" customHeight="1" x14ac:dyDescent="0.4">
      <c r="A41" s="4">
        <v>43468</v>
      </c>
      <c r="B41" s="5" t="s">
        <v>119</v>
      </c>
      <c r="C41" s="12" t="s">
        <v>120</v>
      </c>
      <c r="D41" s="13" t="s">
        <v>121</v>
      </c>
      <c r="E41" s="8" t="s">
        <v>121</v>
      </c>
      <c r="F41" s="9">
        <v>27</v>
      </c>
      <c r="G41" s="10" t="str" cm="1">
        <f t="array" ref="G41">IF(ROW(G41)-ROW(G$4)+1&gt;COUNT(I$1:I$40),"",INDEX(H:H,SMALL(I$1:I$40,1+ROW(G41)-ROW(G$4))))</f>
        <v/>
      </c>
      <c r="I41" s="1"/>
      <c r="J41" s="1" t="str" cm="1">
        <f t="array" ref="J41">IF(ROW(G44)-ROW(G$4)+1&gt;COUNT(I$1:I$40),"",INDEX(H:H,SMALL(I$1:I$40,1+ROW(G44)-ROW(G$4))))</f>
        <v/>
      </c>
      <c r="P41" t="str">
        <f ca="1">IF(Summary!S42="","",IF(F41=Summary!S42,"Right","Wrong"))</f>
        <v>Wrong</v>
      </c>
    </row>
    <row r="42" spans="1:16" ht="18" customHeight="1" x14ac:dyDescent="0.4">
      <c r="A42" s="4">
        <v>43469</v>
      </c>
      <c r="B42" s="5" t="s">
        <v>122</v>
      </c>
      <c r="C42" s="12" t="s">
        <v>123</v>
      </c>
      <c r="D42" s="13" t="s">
        <v>124</v>
      </c>
      <c r="E42" s="8" t="s">
        <v>124</v>
      </c>
      <c r="F42" s="9">
        <v>8</v>
      </c>
      <c r="G42" s="10" t="str" cm="1">
        <f t="array" ref="G42">IF(ROW(G42)-ROW(G$4)+1&gt;COUNT(I$1:I$40),"",INDEX(H:H,SMALL(I$1:I$40,1+ROW(G42)-ROW(G$4))))</f>
        <v/>
      </c>
      <c r="H42" s="14"/>
      <c r="P42" t="str">
        <f ca="1">IF(Summary!S43="","",IF(F42=Summary!S43,"Right","Wrong"))</f>
        <v>Wrong</v>
      </c>
    </row>
    <row r="43" spans="1:16" ht="18" customHeight="1" thickBot="1" x14ac:dyDescent="0.45">
      <c r="A43" s="15">
        <v>43471</v>
      </c>
      <c r="B43" s="16" t="s">
        <v>125</v>
      </c>
      <c r="C43" s="17" t="s">
        <v>126</v>
      </c>
      <c r="D43" s="18" t="s">
        <v>127</v>
      </c>
      <c r="E43" s="19" t="s">
        <v>126</v>
      </c>
      <c r="F43" s="20">
        <v>13</v>
      </c>
      <c r="G43" s="21" t="str" cm="1">
        <f t="array" ref="G43">IF(ROW(G43)-ROW(G$4)+1&gt;COUNT(I$1:I$40),"",INDEX(H:H,SMALL(I$1:I$40,1+ROW(G43)-ROW(G$4))))</f>
        <v/>
      </c>
      <c r="H43" s="14"/>
      <c r="P43" t="str">
        <f ca="1">IF(Summary!S44="","",IF(F43=Summary!S44,"Right","Wrong"))</f>
        <v>Right</v>
      </c>
    </row>
    <row r="44" spans="1:16" ht="18" customHeight="1" x14ac:dyDescent="0.4">
      <c r="A44" s="22"/>
      <c r="B44" s="104" t="s">
        <v>128</v>
      </c>
      <c r="C44" s="104"/>
      <c r="D44" s="104"/>
      <c r="E44" s="23" t="s">
        <v>149</v>
      </c>
      <c r="F44" s="24">
        <v>72</v>
      </c>
      <c r="G44" s="25" t="str" cm="1">
        <f t="array" ref="G44">IF(ROW(G44)-ROW(G$4)+1&gt;COUNT(I$1:I$41),"",INDEX(H:H,SMALL(I$1:I$41,1+ROW(G44)-ROW(G$4))))</f>
        <v/>
      </c>
      <c r="H44" s="14"/>
    </row>
  </sheetData>
  <mergeCells count="7">
    <mergeCell ref="R7:S8"/>
    <mergeCell ref="B44:D44"/>
    <mergeCell ref="A1:A2"/>
    <mergeCell ref="B1:B2"/>
    <mergeCell ref="F1:F2"/>
    <mergeCell ref="G1:G2"/>
    <mergeCell ref="C3:D3"/>
  </mergeCells>
  <conditionalFormatting sqref="G1 B1">
    <cfRule type="containsBlanks" dxfId="4" priority="6">
      <formula>LEN(TRIM(B1))=0</formula>
    </cfRule>
  </conditionalFormatting>
  <conditionalFormatting sqref="E4:F44">
    <cfRule type="containsBlanks" dxfId="3" priority="4">
      <formula>LEN(TRIM(E4))=0</formula>
    </cfRule>
  </conditionalFormatting>
  <conditionalFormatting sqref="F4:F44">
    <cfRule type="duplicateValues" dxfId="2" priority="3"/>
  </conditionalFormatting>
  <conditionalFormatting sqref="P4:P43">
    <cfRule type="cellIs" dxfId="1" priority="1" operator="equal">
      <formula>"Wrong"</formula>
    </cfRule>
    <cfRule type="cellIs" dxfId="0" priority="2" operator="equal">
      <formula>"Right"</formula>
    </cfRule>
  </conditionalFormatting>
  <dataValidations count="3">
    <dataValidation type="list" allowBlank="1" showInputMessage="1" sqref="F4:F43" xr:uid="{15582105-56AF-4AD8-87E5-11D43E9B40BA}">
      <formula1>Confidence_Count</formula1>
    </dataValidation>
    <dataValidation type="list" errorStyle="warning" allowBlank="1" showInputMessage="1" sqref="E4:E43" xr:uid="{E5F99745-9ADD-47BD-B891-E63E336FA9C3}">
      <formula1>$C4:$D4</formula1>
    </dataValidation>
    <dataValidation type="list" allowBlank="1" showInputMessage="1" showErrorMessage="1" sqref="E44" xr:uid="{AD9D46AD-4A8F-4AA9-8878-7B77FEBF6C7B}">
      <formula1>"LSU,Ohio State,Clemson,Oklahoma"</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Description</vt:lpstr>
      <vt:lpstr>Form</vt:lpstr>
      <vt:lpstr>Standings</vt:lpstr>
      <vt:lpstr>Summary</vt:lpstr>
      <vt:lpstr>H2H</vt:lpstr>
      <vt:lpstr>Today's Games</vt:lpstr>
      <vt:lpstr>Remaining Games</vt:lpstr>
      <vt:lpstr>Michael</vt:lpstr>
      <vt:lpstr>Joe</vt:lpstr>
      <vt:lpstr>Mazzen</vt:lpstr>
      <vt:lpstr>Dan</vt:lpstr>
      <vt:lpstr>Ryan</vt:lpstr>
      <vt:lpstr>Suzanne</vt:lpstr>
      <vt:lpstr>Nick</vt:lpstr>
      <vt:lpstr>Tyler</vt:lpstr>
      <vt:lpstr>Andrew</vt:lpstr>
      <vt:lpstr>Nathan</vt:lpstr>
      <vt:lpstr>Kent</vt:lpstr>
      <vt:lpstr>Jay</vt:lpstr>
      <vt:lpstr>Ashleigh</vt:lpstr>
      <vt:lpstr>Courtney</vt:lpstr>
      <vt:lpstr>Jordan</vt:lpstr>
      <vt:lpstr>Participants</vt:lpstr>
      <vt:lpstr>Today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Fitzgerald</dc:creator>
  <cp:lastModifiedBy>Tyler Fitzgerald</cp:lastModifiedBy>
  <dcterms:created xsi:type="dcterms:W3CDTF">2019-12-18T15:43:40Z</dcterms:created>
  <dcterms:modified xsi:type="dcterms:W3CDTF">2020-01-27T19:23:40Z</dcterms:modified>
</cp:coreProperties>
</file>